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eal\projects\sugarbush-ea\output\"/>
    </mc:Choice>
  </mc:AlternateContent>
  <xr:revisionPtr revIDLastSave="0" documentId="13_ncr:1_{BC60A7A7-67B4-45BC-803E-C8C58FB5DDC6}" xr6:coauthVersionLast="47" xr6:coauthVersionMax="47" xr10:uidLastSave="{00000000-0000-0000-0000-000000000000}"/>
  <bookViews>
    <workbookView xWindow="-37920" yWindow="-570" windowWidth="18270" windowHeight="19110" activeTab="1" xr2:uid="{00000000-000D-0000-FFFF-FFFF00000000}"/>
  </bookViews>
  <sheets>
    <sheet name="summary" sheetId="1" r:id="rId1"/>
    <sheet name="yields" sheetId="2" r:id="rId2"/>
    <sheet name="trees" sheetId="3" r:id="rId3"/>
    <sheet name="pct_cu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L3" i="2"/>
  <c r="M3" i="2"/>
  <c r="K4" i="2"/>
  <c r="M4" i="2" s="1"/>
  <c r="L4" i="2"/>
  <c r="K5" i="2"/>
  <c r="M5" i="2" s="1"/>
  <c r="L5" i="2"/>
  <c r="K6" i="2"/>
  <c r="L6" i="2"/>
  <c r="M6" i="2"/>
  <c r="K7" i="2"/>
  <c r="L7" i="2"/>
  <c r="M7" i="2"/>
  <c r="K8" i="2"/>
  <c r="L8" i="2"/>
  <c r="M8" i="2"/>
  <c r="K9" i="2"/>
  <c r="L9" i="2"/>
  <c r="M9" i="2"/>
  <c r="K10" i="2"/>
  <c r="L10" i="2"/>
  <c r="M10" i="2"/>
  <c r="K11" i="2"/>
  <c r="L11" i="2"/>
  <c r="M11" i="2"/>
  <c r="K12" i="2"/>
  <c r="L12" i="2"/>
  <c r="M12" i="2"/>
  <c r="K13" i="2"/>
  <c r="L13" i="2"/>
  <c r="M13" i="2"/>
  <c r="K14" i="2"/>
  <c r="L14" i="2"/>
  <c r="M14" i="2"/>
  <c r="K15" i="2"/>
  <c r="L15" i="2"/>
  <c r="M15" i="2"/>
  <c r="K16" i="2"/>
  <c r="L16" i="2"/>
  <c r="M16" i="2"/>
  <c r="K17" i="2"/>
  <c r="L17" i="2"/>
  <c r="M17" i="2"/>
  <c r="K18" i="2"/>
  <c r="L18" i="2"/>
  <c r="M18" i="2"/>
  <c r="K19" i="2"/>
  <c r="L19" i="2"/>
  <c r="M19" i="2"/>
  <c r="K20" i="2"/>
  <c r="L20" i="2"/>
  <c r="M20" i="2"/>
  <c r="K21" i="2"/>
  <c r="L21" i="2"/>
  <c r="M21" i="2"/>
  <c r="K22" i="2"/>
  <c r="L22" i="2"/>
  <c r="M22" i="2"/>
  <c r="K23" i="2"/>
  <c r="L23" i="2"/>
  <c r="M23" i="2"/>
  <c r="K24" i="2"/>
  <c r="L24" i="2"/>
  <c r="M24" i="2"/>
  <c r="K25" i="2"/>
  <c r="L25" i="2"/>
  <c r="M25" i="2"/>
  <c r="K26" i="2"/>
  <c r="L26" i="2"/>
  <c r="M26" i="2"/>
  <c r="K27" i="2"/>
  <c r="L27" i="2"/>
  <c r="M27" i="2"/>
  <c r="K28" i="2"/>
  <c r="L28" i="2"/>
  <c r="M28" i="2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L34" i="2"/>
  <c r="M34" i="2"/>
  <c r="K35" i="2"/>
  <c r="L35" i="2"/>
  <c r="M35" i="2"/>
  <c r="K36" i="2"/>
  <c r="L36" i="2"/>
  <c r="M36" i="2"/>
  <c r="K37" i="2"/>
  <c r="L37" i="2"/>
  <c r="M37" i="2"/>
  <c r="K38" i="2"/>
  <c r="L38" i="2"/>
  <c r="M38" i="2"/>
  <c r="K39" i="2"/>
  <c r="L39" i="2"/>
  <c r="M39" i="2"/>
  <c r="K40" i="2"/>
  <c r="L40" i="2"/>
  <c r="M40" i="2"/>
  <c r="K41" i="2"/>
  <c r="L41" i="2"/>
  <c r="M41" i="2"/>
  <c r="K42" i="2"/>
  <c r="L42" i="2"/>
  <c r="M42" i="2"/>
  <c r="K43" i="2"/>
  <c r="L43" i="2"/>
  <c r="M43" i="2"/>
  <c r="K44" i="2"/>
  <c r="L44" i="2"/>
  <c r="M44" i="2"/>
  <c r="K45" i="2"/>
  <c r="L45" i="2"/>
  <c r="M45" i="2"/>
  <c r="K46" i="2"/>
  <c r="L46" i="2"/>
  <c r="M46" i="2"/>
  <c r="K47" i="2"/>
  <c r="M2" i="2"/>
  <c r="L2" i="2"/>
  <c r="K2" i="2"/>
</calcChain>
</file>

<file path=xl/sharedStrings.xml><?xml version="1.0" encoding="utf-8"?>
<sst xmlns="http://schemas.openxmlformats.org/spreadsheetml/2006/main" count="182" uniqueCount="46">
  <si>
    <t>rotation_length</t>
  </si>
  <si>
    <t>avg_maple_income_peryr_over_rotation</t>
  </si>
  <si>
    <t>avg_timber_income_peryr_over_rotation</t>
  </si>
  <si>
    <t>stand_age</t>
  </si>
  <si>
    <t>sap_yield_per_ac</t>
  </si>
  <si>
    <t>sugar_content</t>
  </si>
  <si>
    <t>syrup_yield_per_ac</t>
  </si>
  <si>
    <t>gross_maple_revenue_per_ac</t>
  </si>
  <si>
    <t>collection_costs_per_ac</t>
  </si>
  <si>
    <t>net_maple_revenue_per_ac</t>
  </si>
  <si>
    <t>timber_income_per_ac</t>
  </si>
  <si>
    <t>spp</t>
  </si>
  <si>
    <t>dbh</t>
  </si>
  <si>
    <t>cr</t>
  </si>
  <si>
    <t>plot_uui</t>
  </si>
  <si>
    <t>ugs</t>
  </si>
  <si>
    <t>vigor</t>
  </si>
  <si>
    <t>cut</t>
  </si>
  <si>
    <t>cavity</t>
  </si>
  <si>
    <t>merch_ht</t>
  </si>
  <si>
    <t>grade1</t>
  </si>
  <si>
    <t>grade2</t>
  </si>
  <si>
    <t>grade3</t>
  </si>
  <si>
    <t>height</t>
  </si>
  <si>
    <t>plot</t>
  </si>
  <si>
    <t>stand</t>
  </si>
  <si>
    <t>live</t>
  </si>
  <si>
    <t>tpa</t>
  </si>
  <si>
    <t>ba_ac</t>
  </si>
  <si>
    <t>bal</t>
  </si>
  <si>
    <t>ba</t>
  </si>
  <si>
    <t>site_class</t>
  </si>
  <si>
    <t>lat</t>
  </si>
  <si>
    <t>lon</t>
  </si>
  <si>
    <t>elev</t>
  </si>
  <si>
    <t>logs</t>
  </si>
  <si>
    <t>tree</t>
  </si>
  <si>
    <t>cumsurv</t>
  </si>
  <si>
    <t>sustainable</t>
  </si>
  <si>
    <t>{68fef0b1-9adf-4d36-b7d7-f2ffda157743}</t>
  </si>
  <si>
    <t>1</t>
  </si>
  <si>
    <t>3225555555</t>
  </si>
  <si>
    <t>pct_cut</t>
  </si>
  <si>
    <t>net_revenue_per_tree</t>
  </si>
  <si>
    <t>syrup_yield_per_tree</t>
  </si>
  <si>
    <t>productive_trees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</si>
</sst>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275</v>
      </c>
      <c r="B2">
        <v>735.54941478524495</v>
      </c>
      <c r="C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tabSelected="1" workbookViewId="0">
      <selection activeCell="M47" sqref="M47"/>
    </sheetView>
  </sheetViews>
  <sheetFormatPr defaultColWidth="11.42578125" defaultRowHeight="15" x14ac:dyDescent="0.25"/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27</v>
      </c>
      <c r="J1" t="s">
        <v>37</v>
      </c>
      <c r="K1" t="s">
        <v>45</v>
      </c>
      <c r="L1" t="s">
        <v>43</v>
      </c>
      <c r="M1" t="s">
        <v>44</v>
      </c>
    </row>
    <row r="2" spans="1:13" x14ac:dyDescent="0.25">
      <c r="A2">
        <v>50</v>
      </c>
      <c r="B2">
        <v>5675.1750000000002</v>
      </c>
      <c r="C2">
        <v>2.8231999999999999</v>
      </c>
      <c r="D2">
        <v>242.75990999999999</v>
      </c>
      <c r="E2">
        <v>7768.3171199999997</v>
      </c>
      <c r="F2">
        <v>6090.0914993091301</v>
      </c>
      <c r="G2">
        <v>1678.2256206908701</v>
      </c>
      <c r="H2">
        <v>0</v>
      </c>
      <c r="I2">
        <v>250</v>
      </c>
      <c r="J2">
        <v>1</v>
      </c>
      <c r="K2">
        <f>I2*J2</f>
        <v>250</v>
      </c>
      <c r="L2">
        <f>G2/K2</f>
        <v>6.7129024827634804</v>
      </c>
      <c r="M2">
        <f>D2/K2</f>
        <v>0.97103963999999998</v>
      </c>
    </row>
    <row r="3" spans="1:13" x14ac:dyDescent="0.25">
      <c r="A3">
        <v>55</v>
      </c>
      <c r="B3">
        <v>5728.5786386295304</v>
      </c>
      <c r="C3">
        <v>2.8344034956872499</v>
      </c>
      <c r="D3">
        <v>246.016716949255</v>
      </c>
      <c r="E3">
        <v>7872.53494237616</v>
      </c>
      <c r="F3">
        <v>5743.0547694914703</v>
      </c>
      <c r="G3">
        <v>2129.4801728846801</v>
      </c>
      <c r="H3">
        <v>0</v>
      </c>
      <c r="I3">
        <v>250</v>
      </c>
      <c r="J3">
        <v>0.94301617145538297</v>
      </c>
      <c r="K3">
        <f t="shared" ref="K3:K47" si="0">I3*J3</f>
        <v>235.75404286384574</v>
      </c>
      <c r="L3">
        <f t="shared" ref="L3:L47" si="1">G3/K3</f>
        <v>9.0326348045471772</v>
      </c>
      <c r="M3">
        <f t="shared" ref="M3:M47" si="2">D3/K3</f>
        <v>1.0435312750557419</v>
      </c>
    </row>
    <row r="4" spans="1:13" x14ac:dyDescent="0.25">
      <c r="A4">
        <v>60</v>
      </c>
      <c r="B4">
        <v>5900.0447885746398</v>
      </c>
      <c r="C4">
        <v>2.84746846402287</v>
      </c>
      <c r="D4">
        <v>254.54835563316399</v>
      </c>
      <c r="E4">
        <v>8145.5473802612396</v>
      </c>
      <c r="F4">
        <v>5493.5775872849299</v>
      </c>
      <c r="G4">
        <v>2651.9697929763202</v>
      </c>
      <c r="H4">
        <v>0</v>
      </c>
      <c r="I4">
        <v>250</v>
      </c>
      <c r="J4">
        <v>0.90205173237678304</v>
      </c>
      <c r="K4">
        <f t="shared" si="0"/>
        <v>225.51293309419577</v>
      </c>
      <c r="L4">
        <f t="shared" si="1"/>
        <v>11.759723739962196</v>
      </c>
      <c r="M4">
        <f t="shared" si="2"/>
        <v>1.1287528042874608</v>
      </c>
    </row>
    <row r="5" spans="1:13" x14ac:dyDescent="0.25">
      <c r="A5">
        <v>65</v>
      </c>
      <c r="B5">
        <v>6119.42911271717</v>
      </c>
      <c r="C5">
        <v>2.86181519762874</v>
      </c>
      <c r="D5">
        <v>265.34356417554102</v>
      </c>
      <c r="E5">
        <v>8490.9940536173308</v>
      </c>
      <c r="F5">
        <v>5284.4543163211902</v>
      </c>
      <c r="G5">
        <v>3206.5397372961302</v>
      </c>
      <c r="H5">
        <v>0</v>
      </c>
      <c r="I5">
        <v>250</v>
      </c>
      <c r="J5">
        <v>0.86771345174709902</v>
      </c>
      <c r="K5">
        <f t="shared" si="0"/>
        <v>216.92836293677476</v>
      </c>
      <c r="L5">
        <f t="shared" si="1"/>
        <v>14.781560575509888</v>
      </c>
      <c r="M5">
        <f t="shared" si="2"/>
        <v>1.2231852053983241</v>
      </c>
    </row>
    <row r="6" spans="1:13" x14ac:dyDescent="0.25">
      <c r="A6">
        <v>70</v>
      </c>
      <c r="B6">
        <v>6304.5443414873498</v>
      </c>
      <c r="C6">
        <v>2.8761882332265398</v>
      </c>
      <c r="D6">
        <v>274.74327652789202</v>
      </c>
      <c r="E6">
        <v>8791.7848488925501</v>
      </c>
      <c r="F6">
        <v>5075.4024579493798</v>
      </c>
      <c r="G6">
        <v>3716.3823909431699</v>
      </c>
      <c r="H6">
        <v>0</v>
      </c>
      <c r="I6">
        <v>250</v>
      </c>
      <c r="J6">
        <v>0.83338689714680603</v>
      </c>
      <c r="K6">
        <f t="shared" si="0"/>
        <v>208.34672428670152</v>
      </c>
      <c r="L6">
        <f t="shared" si="1"/>
        <v>17.837488943810484</v>
      </c>
      <c r="M6">
        <f t="shared" si="2"/>
        <v>1.3186829669077187</v>
      </c>
    </row>
    <row r="7" spans="1:13" x14ac:dyDescent="0.25">
      <c r="A7">
        <v>75</v>
      </c>
      <c r="B7">
        <v>6493.5958805929604</v>
      </c>
      <c r="C7">
        <v>2.89082939381003</v>
      </c>
      <c r="D7">
        <v>284.42239156275599</v>
      </c>
      <c r="E7">
        <v>9101.5165300081899</v>
      </c>
      <c r="F7">
        <v>4890.0623517908398</v>
      </c>
      <c r="G7">
        <v>4211.4541782173501</v>
      </c>
      <c r="H7">
        <v>0</v>
      </c>
      <c r="I7">
        <v>250</v>
      </c>
      <c r="J7">
        <v>0.80295383942024101</v>
      </c>
      <c r="K7">
        <f t="shared" si="0"/>
        <v>200.73845985506026</v>
      </c>
      <c r="L7">
        <f t="shared" si="1"/>
        <v>20.979807164298052</v>
      </c>
      <c r="M7">
        <f t="shared" si="2"/>
        <v>1.4168804112979558</v>
      </c>
    </row>
    <row r="8" spans="1:13" x14ac:dyDescent="0.25">
      <c r="A8">
        <v>80</v>
      </c>
      <c r="B8">
        <v>6656.4446308918396</v>
      </c>
      <c r="C8">
        <v>2.9052944432318202</v>
      </c>
      <c r="D8">
        <v>293.014115118338</v>
      </c>
      <c r="E8">
        <v>9376.4516837868305</v>
      </c>
      <c r="F8">
        <v>4712.1068299383596</v>
      </c>
      <c r="G8">
        <v>4664.3448538484699</v>
      </c>
      <c r="H8">
        <v>0</v>
      </c>
      <c r="I8">
        <v>250</v>
      </c>
      <c r="J8">
        <v>0.77373333889530305</v>
      </c>
      <c r="K8">
        <f t="shared" si="0"/>
        <v>193.43333472382577</v>
      </c>
      <c r="L8">
        <f t="shared" si="1"/>
        <v>24.113449010781846</v>
      </c>
      <c r="M8">
        <f t="shared" si="2"/>
        <v>1.5148067190005723</v>
      </c>
    </row>
    <row r="9" spans="1:13" x14ac:dyDescent="0.25">
      <c r="A9">
        <v>85</v>
      </c>
      <c r="B9">
        <v>6774.0272586338597</v>
      </c>
      <c r="C9">
        <v>2.9192424093902098</v>
      </c>
      <c r="D9">
        <v>299.62163114802001</v>
      </c>
      <c r="E9">
        <v>9587.8921967366296</v>
      </c>
      <c r="F9">
        <v>4533.2229302057904</v>
      </c>
      <c r="G9">
        <v>5054.6692665308301</v>
      </c>
      <c r="H9">
        <v>0</v>
      </c>
      <c r="I9">
        <v>250</v>
      </c>
      <c r="J9">
        <v>0.74436039765905804</v>
      </c>
      <c r="K9">
        <f t="shared" si="0"/>
        <v>186.0900994147645</v>
      </c>
      <c r="L9">
        <f t="shared" si="1"/>
        <v>27.16248356267894</v>
      </c>
      <c r="M9">
        <f t="shared" si="2"/>
        <v>1.6100890487473611</v>
      </c>
    </row>
    <row r="10" spans="1:13" x14ac:dyDescent="0.25">
      <c r="A10">
        <v>90</v>
      </c>
      <c r="B10">
        <v>6858.4076499282301</v>
      </c>
      <c r="C10">
        <v>2.9328623265922098</v>
      </c>
      <c r="D10">
        <v>304.769172983126</v>
      </c>
      <c r="E10">
        <v>9752.6135354600301</v>
      </c>
      <c r="F10">
        <v>4357.1252800439797</v>
      </c>
      <c r="G10">
        <v>5395.4882554160504</v>
      </c>
      <c r="H10">
        <v>0</v>
      </c>
      <c r="I10">
        <v>250</v>
      </c>
      <c r="J10">
        <v>0.71544496179380201</v>
      </c>
      <c r="K10">
        <f t="shared" si="0"/>
        <v>178.8612404484505</v>
      </c>
      <c r="L10">
        <f t="shared" si="1"/>
        <v>30.165776788130245</v>
      </c>
      <c r="M10">
        <f t="shared" si="2"/>
        <v>1.7039419620427119</v>
      </c>
    </row>
    <row r="11" spans="1:13" x14ac:dyDescent="0.25">
      <c r="A11">
        <v>95</v>
      </c>
      <c r="B11">
        <v>6713.9414317873798</v>
      </c>
      <c r="C11">
        <v>2.9460556074082902</v>
      </c>
      <c r="D11">
        <v>299.69158792315199</v>
      </c>
      <c r="E11">
        <v>9590.1308135408599</v>
      </c>
      <c r="F11">
        <v>4065.7813623257698</v>
      </c>
      <c r="G11">
        <v>5524.3494512151001</v>
      </c>
      <c r="H11">
        <v>0</v>
      </c>
      <c r="I11">
        <v>250</v>
      </c>
      <c r="J11">
        <v>0.66760595678849699</v>
      </c>
      <c r="K11">
        <f t="shared" si="0"/>
        <v>166.90148919712425</v>
      </c>
      <c r="L11">
        <f t="shared" si="1"/>
        <v>33.099461711155818</v>
      </c>
      <c r="M11">
        <f t="shared" si="2"/>
        <v>1.7956196158872604</v>
      </c>
    </row>
    <row r="12" spans="1:13" x14ac:dyDescent="0.25">
      <c r="A12">
        <v>100</v>
      </c>
      <c r="B12">
        <v>6484.3759296552598</v>
      </c>
      <c r="C12">
        <v>2.9597214823186402</v>
      </c>
      <c r="D12">
        <v>290.78707179440198</v>
      </c>
      <c r="E12">
        <v>9305.1862974208798</v>
      </c>
      <c r="F12">
        <v>3745.2546068091101</v>
      </c>
      <c r="G12">
        <v>5559.9316906117701</v>
      </c>
      <c r="H12">
        <v>0</v>
      </c>
      <c r="I12">
        <v>250</v>
      </c>
      <c r="J12">
        <v>0.61497509638960002</v>
      </c>
      <c r="K12">
        <f t="shared" si="0"/>
        <v>153.74377409740001</v>
      </c>
      <c r="L12">
        <f t="shared" si="1"/>
        <v>36.163621735273864</v>
      </c>
      <c r="M12">
        <f t="shared" si="2"/>
        <v>1.8913746166409449</v>
      </c>
    </row>
    <row r="13" spans="1:13" x14ac:dyDescent="0.25">
      <c r="A13">
        <v>105</v>
      </c>
      <c r="B13">
        <v>6273.07872565855</v>
      </c>
      <c r="C13">
        <v>2.97315574890971</v>
      </c>
      <c r="D13">
        <v>282.58848600840798</v>
      </c>
      <c r="E13">
        <v>9042.83155226905</v>
      </c>
      <c r="F13">
        <v>3465.7306479816598</v>
      </c>
      <c r="G13">
        <v>5577.1009042873902</v>
      </c>
      <c r="H13">
        <v>0</v>
      </c>
      <c r="I13">
        <v>250</v>
      </c>
      <c r="J13">
        <v>0.56907694217316995</v>
      </c>
      <c r="K13">
        <f t="shared" si="0"/>
        <v>142.2692355432925</v>
      </c>
      <c r="L13">
        <f t="shared" si="1"/>
        <v>39.201032345396129</v>
      </c>
      <c r="M13">
        <f t="shared" si="2"/>
        <v>1.9862936982072725</v>
      </c>
    </row>
    <row r="14" spans="1:13" x14ac:dyDescent="0.25">
      <c r="A14">
        <v>110</v>
      </c>
      <c r="B14">
        <v>6073.3481776594799</v>
      </c>
      <c r="C14">
        <v>2.9866894628584402</v>
      </c>
      <c r="D14">
        <v>274.836439492213</v>
      </c>
      <c r="E14">
        <v>8794.7660637508197</v>
      </c>
      <c r="F14">
        <v>3214.6264002651101</v>
      </c>
      <c r="G14">
        <v>5580.1396634857001</v>
      </c>
      <c r="H14">
        <v>0</v>
      </c>
      <c r="I14">
        <v>250</v>
      </c>
      <c r="J14">
        <v>0.52784533707412795</v>
      </c>
      <c r="K14">
        <f t="shared" si="0"/>
        <v>131.961334268532</v>
      </c>
      <c r="L14">
        <f t="shared" si="1"/>
        <v>42.286171888278346</v>
      </c>
      <c r="M14">
        <f t="shared" si="2"/>
        <v>2.0827043089223412</v>
      </c>
    </row>
    <row r="15" spans="1:13" x14ac:dyDescent="0.25">
      <c r="A15">
        <v>115</v>
      </c>
      <c r="B15">
        <v>5883.69659691588</v>
      </c>
      <c r="C15">
        <v>3.0003686984479399</v>
      </c>
      <c r="D15">
        <v>267.473622735623</v>
      </c>
      <c r="E15">
        <v>8559.1559275399195</v>
      </c>
      <c r="F15">
        <v>2987.5681902159199</v>
      </c>
      <c r="G15">
        <v>5571.587737324</v>
      </c>
      <c r="H15">
        <v>0</v>
      </c>
      <c r="I15">
        <v>250</v>
      </c>
      <c r="J15">
        <v>0.490562118903276</v>
      </c>
      <c r="K15">
        <f t="shared" si="0"/>
        <v>122.64052972581899</v>
      </c>
      <c r="L15">
        <f t="shared" si="1"/>
        <v>45.430232157184143</v>
      </c>
      <c r="M15">
        <f t="shared" si="2"/>
        <v>2.1809561923256511</v>
      </c>
    </row>
    <row r="16" spans="1:13" x14ac:dyDescent="0.25">
      <c r="A16">
        <v>120</v>
      </c>
      <c r="B16">
        <v>5703.8974265014003</v>
      </c>
      <c r="C16">
        <v>3.0141575718462499</v>
      </c>
      <c r="D16">
        <v>260.49160025944701</v>
      </c>
      <c r="E16">
        <v>8335.7312083023098</v>
      </c>
      <c r="F16">
        <v>2782.1953468891002</v>
      </c>
      <c r="G16">
        <v>5553.5358614132001</v>
      </c>
      <c r="H16">
        <v>0</v>
      </c>
      <c r="I16">
        <v>250</v>
      </c>
      <c r="J16">
        <v>0.45683966278745097</v>
      </c>
      <c r="K16">
        <f t="shared" si="0"/>
        <v>114.20991569686274</v>
      </c>
      <c r="L16">
        <f t="shared" si="1"/>
        <v>48.625689175302945</v>
      </c>
      <c r="M16">
        <f t="shared" si="2"/>
        <v>2.2808142241418583</v>
      </c>
    </row>
    <row r="17" spans="1:13" x14ac:dyDescent="0.25">
      <c r="A17">
        <v>125</v>
      </c>
      <c r="B17">
        <v>5529.0711551755403</v>
      </c>
      <c r="C17">
        <v>3.0284066112577901</v>
      </c>
      <c r="D17">
        <v>253.7011460674</v>
      </c>
      <c r="E17">
        <v>8118.4366741567801</v>
      </c>
      <c r="F17">
        <v>2591.4440698562098</v>
      </c>
      <c r="G17">
        <v>5526.9926043005798</v>
      </c>
      <c r="H17">
        <v>0</v>
      </c>
      <c r="I17">
        <v>250</v>
      </c>
      <c r="J17">
        <v>0.42551808460516299</v>
      </c>
      <c r="K17">
        <f t="shared" si="0"/>
        <v>106.37952115129075</v>
      </c>
      <c r="L17">
        <f t="shared" si="1"/>
        <v>51.955419092742538</v>
      </c>
      <c r="M17">
        <f t="shared" si="2"/>
        <v>2.3848682840618496</v>
      </c>
    </row>
    <row r="18" spans="1:13" x14ac:dyDescent="0.25">
      <c r="A18">
        <v>130</v>
      </c>
      <c r="B18">
        <v>5364.4574259590499</v>
      </c>
      <c r="C18">
        <v>3.0426556506693401</v>
      </c>
      <c r="D18">
        <v>247.30601060408199</v>
      </c>
      <c r="E18">
        <v>7913.7923393306201</v>
      </c>
      <c r="F18">
        <v>2419.6581241082999</v>
      </c>
      <c r="G18">
        <v>5494.1342152223197</v>
      </c>
      <c r="H18">
        <v>0</v>
      </c>
      <c r="I18">
        <v>250</v>
      </c>
      <c r="J18">
        <v>0.39731063554345403</v>
      </c>
      <c r="K18">
        <f t="shared" si="0"/>
        <v>99.327658885863514</v>
      </c>
      <c r="L18">
        <f t="shared" si="1"/>
        <v>55.313235777917384</v>
      </c>
      <c r="M18">
        <f t="shared" si="2"/>
        <v>2.4898000554735615</v>
      </c>
    </row>
    <row r="19" spans="1:13" x14ac:dyDescent="0.25">
      <c r="A19">
        <v>135</v>
      </c>
      <c r="B19">
        <v>5211.0641415108303</v>
      </c>
      <c r="C19">
        <v>3.0567292253792302</v>
      </c>
      <c r="D19">
        <v>241.34563722245301</v>
      </c>
      <c r="E19">
        <v>7723.0603911184799</v>
      </c>
      <c r="F19">
        <v>2310.9640211353599</v>
      </c>
      <c r="G19">
        <v>5412.09636998312</v>
      </c>
      <c r="H19">
        <v>0</v>
      </c>
      <c r="I19">
        <v>250</v>
      </c>
      <c r="J19">
        <v>0.37211659583856499</v>
      </c>
      <c r="K19">
        <f t="shared" si="0"/>
        <v>93.029148959641248</v>
      </c>
      <c r="L19">
        <f t="shared" si="1"/>
        <v>58.176350428950443</v>
      </c>
      <c r="M19">
        <f t="shared" si="2"/>
        <v>2.5943012477428526</v>
      </c>
    </row>
    <row r="20" spans="1:13" x14ac:dyDescent="0.25">
      <c r="A20">
        <v>140</v>
      </c>
      <c r="B20">
        <v>5067.2464109038101</v>
      </c>
      <c r="C20">
        <v>3.0706854547202602</v>
      </c>
      <c r="D20">
        <v>235.75636135523899</v>
      </c>
      <c r="E20">
        <v>7544.2035633676496</v>
      </c>
      <c r="F20">
        <v>2250.26984353957</v>
      </c>
      <c r="G20">
        <v>5293.93371982808</v>
      </c>
      <c r="H20">
        <v>0</v>
      </c>
      <c r="I20">
        <v>250</v>
      </c>
      <c r="J20">
        <v>0.349427005141003</v>
      </c>
      <c r="K20">
        <f t="shared" si="0"/>
        <v>87.356751285250752</v>
      </c>
      <c r="L20">
        <f t="shared" si="1"/>
        <v>60.601311769728134</v>
      </c>
      <c r="M20">
        <f t="shared" si="2"/>
        <v>2.6987766587771898</v>
      </c>
    </row>
    <row r="21" spans="1:13" x14ac:dyDescent="0.25">
      <c r="A21">
        <v>145</v>
      </c>
      <c r="B21">
        <v>4933.0003950398896</v>
      </c>
      <c r="C21">
        <v>3.08443600075841</v>
      </c>
      <c r="D21">
        <v>230.53824257903801</v>
      </c>
      <c r="E21">
        <v>7377.22376252921</v>
      </c>
      <c r="F21">
        <v>2186.8575687682001</v>
      </c>
      <c r="G21">
        <v>5190.3661937610104</v>
      </c>
      <c r="H21">
        <v>0</v>
      </c>
      <c r="I21">
        <v>250</v>
      </c>
      <c r="J21">
        <v>0.32904234877406402</v>
      </c>
      <c r="K21">
        <f t="shared" si="0"/>
        <v>82.260587193516002</v>
      </c>
      <c r="L21">
        <f t="shared" si="1"/>
        <v>63.096634376688826</v>
      </c>
      <c r="M21">
        <f t="shared" si="2"/>
        <v>2.8025358248015233</v>
      </c>
    </row>
    <row r="22" spans="1:13" x14ac:dyDescent="0.25">
      <c r="A22">
        <v>150</v>
      </c>
      <c r="B22">
        <v>4793.4197536352203</v>
      </c>
      <c r="C22">
        <v>3.0995381812274498</v>
      </c>
      <c r="D22">
        <v>225.11193250063999</v>
      </c>
      <c r="E22">
        <v>7203.5818400204698</v>
      </c>
      <c r="F22">
        <v>2114.98407192271</v>
      </c>
      <c r="G22">
        <v>5088.5977680977603</v>
      </c>
      <c r="H22">
        <v>0</v>
      </c>
      <c r="I22">
        <v>250</v>
      </c>
      <c r="J22">
        <v>0.30864352222656399</v>
      </c>
      <c r="K22">
        <f t="shared" si="0"/>
        <v>77.160880556641004</v>
      </c>
      <c r="L22">
        <f t="shared" si="1"/>
        <v>65.947896542761782</v>
      </c>
      <c r="M22">
        <f t="shared" si="2"/>
        <v>2.9174360229779066</v>
      </c>
    </row>
    <row r="23" spans="1:13" x14ac:dyDescent="0.25">
      <c r="A23">
        <v>155</v>
      </c>
      <c r="B23">
        <v>4661.4284881864296</v>
      </c>
      <c r="C23">
        <v>3.11464036169648</v>
      </c>
      <c r="D23">
        <v>219.97989867374699</v>
      </c>
      <c r="E23">
        <v>7039.35675755989</v>
      </c>
      <c r="F23">
        <v>2042.27757461486</v>
      </c>
      <c r="G23">
        <v>4997.07918294503</v>
      </c>
      <c r="H23">
        <v>0</v>
      </c>
      <c r="I23">
        <v>250</v>
      </c>
      <c r="J23">
        <v>0.29008444923872201</v>
      </c>
      <c r="K23">
        <f t="shared" si="0"/>
        <v>72.521112309680504</v>
      </c>
      <c r="L23">
        <f t="shared" si="1"/>
        <v>68.905164631320659</v>
      </c>
      <c r="M23">
        <f t="shared" si="2"/>
        <v>3.0333221825719696</v>
      </c>
    </row>
    <row r="24" spans="1:13" x14ac:dyDescent="0.25">
      <c r="A24">
        <v>160</v>
      </c>
      <c r="B24">
        <v>4536.4325904774596</v>
      </c>
      <c r="C24">
        <v>3.1297425421655198</v>
      </c>
      <c r="D24">
        <v>215.119182849749</v>
      </c>
      <c r="E24">
        <v>6883.8138511919597</v>
      </c>
      <c r="F24">
        <v>1969.8560069258899</v>
      </c>
      <c r="G24">
        <v>4913.9578442660804</v>
      </c>
      <c r="H24">
        <v>0</v>
      </c>
      <c r="I24">
        <v>250</v>
      </c>
      <c r="J24">
        <v>0.27315036739800602</v>
      </c>
      <c r="K24">
        <f t="shared" si="0"/>
        <v>68.28759184950151</v>
      </c>
      <c r="L24">
        <f t="shared" si="1"/>
        <v>71.959747168942698</v>
      </c>
      <c r="M24">
        <f t="shared" si="2"/>
        <v>3.1501943035837092</v>
      </c>
    </row>
    <row r="25" spans="1:13" x14ac:dyDescent="0.25">
      <c r="A25">
        <v>165</v>
      </c>
      <c r="B25">
        <v>4412.74377868184</v>
      </c>
      <c r="C25">
        <v>3.1455195421516899</v>
      </c>
      <c r="D25">
        <v>210.308663490182</v>
      </c>
      <c r="E25">
        <v>6729.8772316858303</v>
      </c>
      <c r="F25">
        <v>1895.35939693104</v>
      </c>
      <c r="G25">
        <v>4834.5178347547799</v>
      </c>
      <c r="H25">
        <v>0</v>
      </c>
      <c r="I25">
        <v>250</v>
      </c>
      <c r="J25">
        <v>0.25699567169877002</v>
      </c>
      <c r="K25">
        <f t="shared" si="0"/>
        <v>64.248917924692506</v>
      </c>
      <c r="L25">
        <f t="shared" si="1"/>
        <v>75.246681047942616</v>
      </c>
      <c r="M25">
        <f t="shared" si="2"/>
        <v>3.2733417197265355</v>
      </c>
    </row>
    <row r="26" spans="1:13" x14ac:dyDescent="0.25">
      <c r="A26">
        <v>170</v>
      </c>
      <c r="B26">
        <v>4298.5116289768403</v>
      </c>
      <c r="C26">
        <v>3.1608883730113502</v>
      </c>
      <c r="D26">
        <v>205.86538529222699</v>
      </c>
      <c r="E26">
        <v>6587.69232935126</v>
      </c>
      <c r="F26">
        <v>1824.5176328301</v>
      </c>
      <c r="G26">
        <v>4763.1746965211596</v>
      </c>
      <c r="H26">
        <v>0</v>
      </c>
      <c r="I26">
        <v>250</v>
      </c>
      <c r="J26">
        <v>0.24259858207750601</v>
      </c>
      <c r="K26">
        <f t="shared" si="0"/>
        <v>60.649645519376499</v>
      </c>
      <c r="L26">
        <f t="shared" si="1"/>
        <v>78.535903313720254</v>
      </c>
      <c r="M26">
        <f t="shared" si="2"/>
        <v>3.3943378156506556</v>
      </c>
    </row>
    <row r="27" spans="1:13" x14ac:dyDescent="0.25">
      <c r="A27">
        <v>175</v>
      </c>
      <c r="B27">
        <v>4189.99251993697</v>
      </c>
      <c r="C27">
        <v>3.17625720387101</v>
      </c>
      <c r="D27">
        <v>201.64384735780999</v>
      </c>
      <c r="E27">
        <v>6452.6031154499096</v>
      </c>
      <c r="F27">
        <v>1755.7721958403899</v>
      </c>
      <c r="G27">
        <v>4696.8309196095297</v>
      </c>
      <c r="H27">
        <v>0</v>
      </c>
      <c r="I27">
        <v>250</v>
      </c>
      <c r="J27">
        <v>0.229378259594023</v>
      </c>
      <c r="K27">
        <f t="shared" si="0"/>
        <v>57.344564898505752</v>
      </c>
      <c r="L27">
        <f t="shared" si="1"/>
        <v>81.905424305205898</v>
      </c>
      <c r="M27">
        <f t="shared" si="2"/>
        <v>3.5163549974561632</v>
      </c>
    </row>
    <row r="28" spans="1:13" x14ac:dyDescent="0.25">
      <c r="A28">
        <v>180</v>
      </c>
      <c r="B28">
        <v>4085.6123294202598</v>
      </c>
      <c r="C28">
        <v>3.1918031799256799</v>
      </c>
      <c r="D28">
        <v>197.58288522707801</v>
      </c>
      <c r="E28">
        <v>6322.6523272664999</v>
      </c>
      <c r="F28">
        <v>1688.6200209848</v>
      </c>
      <c r="G28">
        <v>4634.0323062816997</v>
      </c>
      <c r="H28">
        <v>0</v>
      </c>
      <c r="I28">
        <v>250</v>
      </c>
      <c r="J28">
        <v>0.217075303823031</v>
      </c>
      <c r="K28">
        <f t="shared" si="0"/>
        <v>54.268825955757748</v>
      </c>
      <c r="L28">
        <f t="shared" si="1"/>
        <v>85.390318007976802</v>
      </c>
      <c r="M28">
        <f t="shared" si="2"/>
        <v>3.6408173891242086</v>
      </c>
    </row>
    <row r="29" spans="1:13" x14ac:dyDescent="0.25">
      <c r="A29">
        <v>185</v>
      </c>
      <c r="B29">
        <v>3986.86131737701</v>
      </c>
      <c r="C29">
        <v>3.2072537402927899</v>
      </c>
      <c r="D29">
        <v>193.74054351797</v>
      </c>
      <c r="E29">
        <v>6199.6973925750499</v>
      </c>
      <c r="F29">
        <v>1624.4053854132601</v>
      </c>
      <c r="G29">
        <v>4575.29200716178</v>
      </c>
      <c r="H29">
        <v>0</v>
      </c>
      <c r="I29">
        <v>250</v>
      </c>
      <c r="J29">
        <v>0.205803125931106</v>
      </c>
      <c r="K29">
        <f t="shared" si="0"/>
        <v>51.450781482776499</v>
      </c>
      <c r="L29">
        <f t="shared" si="1"/>
        <v>88.925607644917704</v>
      </c>
      <c r="M29">
        <f t="shared" si="2"/>
        <v>3.7655510360484219</v>
      </c>
    </row>
    <row r="30" spans="1:13" x14ac:dyDescent="0.25">
      <c r="A30">
        <v>190</v>
      </c>
      <c r="B30">
        <v>3893.1561621036499</v>
      </c>
      <c r="C30">
        <v>3.2226337986648099</v>
      </c>
      <c r="D30">
        <v>190.094191385991</v>
      </c>
      <c r="E30">
        <v>6083.0141243517</v>
      </c>
      <c r="F30">
        <v>1563.05521280222</v>
      </c>
      <c r="G30">
        <v>4519.95891154948</v>
      </c>
      <c r="H30">
        <v>0</v>
      </c>
      <c r="I30">
        <v>250</v>
      </c>
      <c r="J30">
        <v>0.19543240623021799</v>
      </c>
      <c r="K30">
        <f t="shared" si="0"/>
        <v>48.858101557554498</v>
      </c>
      <c r="L30">
        <f t="shared" si="1"/>
        <v>92.511963573226453</v>
      </c>
      <c r="M30">
        <f t="shared" si="2"/>
        <v>3.8907404366103209</v>
      </c>
    </row>
    <row r="31" spans="1:13" x14ac:dyDescent="0.25">
      <c r="A31">
        <v>195</v>
      </c>
      <c r="B31">
        <v>3803.72448870772</v>
      </c>
      <c r="C31">
        <v>3.23801385703683</v>
      </c>
      <c r="D31">
        <v>186.61382731493799</v>
      </c>
      <c r="E31">
        <v>5971.6424740780203</v>
      </c>
      <c r="F31">
        <v>1504.28657240746</v>
      </c>
      <c r="G31">
        <v>4467.3559016705703</v>
      </c>
      <c r="H31">
        <v>0</v>
      </c>
      <c r="I31">
        <v>250</v>
      </c>
      <c r="J31">
        <v>0.18582627625429299</v>
      </c>
      <c r="K31">
        <f t="shared" si="0"/>
        <v>46.456569063573248</v>
      </c>
      <c r="L31">
        <f t="shared" si="1"/>
        <v>96.161985091004908</v>
      </c>
      <c r="M31">
        <f t="shared" si="2"/>
        <v>4.0169524154822387</v>
      </c>
    </row>
    <row r="32" spans="1:13" x14ac:dyDescent="0.25">
      <c r="A32">
        <v>200</v>
      </c>
      <c r="B32">
        <v>3718.2827442409098</v>
      </c>
      <c r="C32">
        <v>3.25339391540885</v>
      </c>
      <c r="D32">
        <v>183.28846145277399</v>
      </c>
      <c r="E32">
        <v>5865.2307664887703</v>
      </c>
      <c r="F32">
        <v>1448.0762564587999</v>
      </c>
      <c r="G32">
        <v>4417.15451002998</v>
      </c>
      <c r="H32">
        <v>0</v>
      </c>
      <c r="I32">
        <v>250</v>
      </c>
      <c r="J32">
        <v>0.17691138229213699</v>
      </c>
      <c r="K32">
        <f t="shared" si="0"/>
        <v>44.227845573034244</v>
      </c>
      <c r="L32">
        <f t="shared" si="1"/>
        <v>99.872703560381495</v>
      </c>
      <c r="M32">
        <f t="shared" si="2"/>
        <v>4.1441869726642331</v>
      </c>
    </row>
    <row r="33" spans="1:13" x14ac:dyDescent="0.25">
      <c r="A33">
        <v>205</v>
      </c>
      <c r="B33">
        <v>3643.1258798866802</v>
      </c>
      <c r="C33">
        <v>3.26751502385736</v>
      </c>
      <c r="D33">
        <v>180.363159792928</v>
      </c>
      <c r="E33">
        <v>5771.6211133737097</v>
      </c>
      <c r="F33">
        <v>1398.6766106211101</v>
      </c>
      <c r="G33">
        <v>4372.9445027525999</v>
      </c>
      <c r="H33">
        <v>0</v>
      </c>
      <c r="I33">
        <v>250</v>
      </c>
      <c r="J33">
        <v>0.169279298641896</v>
      </c>
      <c r="K33">
        <f t="shared" si="0"/>
        <v>42.319824660473998</v>
      </c>
      <c r="L33">
        <f t="shared" si="1"/>
        <v>103.33087478117216</v>
      </c>
      <c r="M33">
        <f t="shared" si="2"/>
        <v>4.2619070669587193</v>
      </c>
    </row>
    <row r="34" spans="1:13" x14ac:dyDescent="0.25">
      <c r="A34">
        <v>210</v>
      </c>
      <c r="B34">
        <v>3570.9293111731599</v>
      </c>
      <c r="C34">
        <v>3.2816361323058598</v>
      </c>
      <c r="D34">
        <v>177.552888688726</v>
      </c>
      <c r="E34">
        <v>5681.6924380392402</v>
      </c>
      <c r="F34">
        <v>1351.33701175581</v>
      </c>
      <c r="G34">
        <v>4330.3554262834296</v>
      </c>
      <c r="H34">
        <v>0</v>
      </c>
      <c r="I34">
        <v>250</v>
      </c>
      <c r="J34">
        <v>0.16213064913453101</v>
      </c>
      <c r="K34">
        <f t="shared" si="0"/>
        <v>40.532662283632753</v>
      </c>
      <c r="L34">
        <f t="shared" si="1"/>
        <v>106.83619536217941</v>
      </c>
      <c r="M34">
        <f t="shared" si="2"/>
        <v>4.3804891829279757</v>
      </c>
    </row>
    <row r="35" spans="1:13" x14ac:dyDescent="0.25">
      <c r="A35">
        <v>215</v>
      </c>
      <c r="B35">
        <v>3501.5226671238402</v>
      </c>
      <c r="C35">
        <v>3.2957572407543698</v>
      </c>
      <c r="D35">
        <v>174.85104066422599</v>
      </c>
      <c r="E35">
        <v>5595.2333012552399</v>
      </c>
      <c r="F35">
        <v>1305.9941731052299</v>
      </c>
      <c r="G35">
        <v>4289.2391281500104</v>
      </c>
      <c r="H35">
        <v>0</v>
      </c>
      <c r="I35">
        <v>250</v>
      </c>
      <c r="J35">
        <v>0.15542545029711899</v>
      </c>
      <c r="K35">
        <f t="shared" si="0"/>
        <v>38.85636257427975</v>
      </c>
      <c r="L35">
        <f t="shared" si="1"/>
        <v>110.38704716506822</v>
      </c>
      <c r="M35">
        <f t="shared" si="2"/>
        <v>4.4999333205719418</v>
      </c>
    </row>
    <row r="36" spans="1:13" x14ac:dyDescent="0.25">
      <c r="A36">
        <v>220</v>
      </c>
      <c r="B36">
        <v>3434.7483061696098</v>
      </c>
      <c r="C36">
        <v>3.3098783492028701</v>
      </c>
      <c r="D36">
        <v>172.25150081139401</v>
      </c>
      <c r="E36">
        <v>5512.0480259646201</v>
      </c>
      <c r="F36">
        <v>1262.5785974441201</v>
      </c>
      <c r="G36">
        <v>4249.4694285204996</v>
      </c>
      <c r="H36">
        <v>0</v>
      </c>
      <c r="I36">
        <v>250</v>
      </c>
      <c r="J36">
        <v>0.149127768429415</v>
      </c>
      <c r="K36">
        <f t="shared" si="0"/>
        <v>37.28194210735375</v>
      </c>
      <c r="L36">
        <f t="shared" si="1"/>
        <v>113.98197594653485</v>
      </c>
      <c r="M36">
        <f t="shared" si="2"/>
        <v>4.6202394798906656</v>
      </c>
    </row>
    <row r="37" spans="1:13" x14ac:dyDescent="0.25">
      <c r="A37">
        <v>225</v>
      </c>
      <c r="B37">
        <v>3370.4601593802799</v>
      </c>
      <c r="C37">
        <v>3.3239994576513801</v>
      </c>
      <c r="D37">
        <v>169.74860214872101</v>
      </c>
      <c r="E37">
        <v>5431.9552687590904</v>
      </c>
      <c r="F37">
        <v>1221.0170185544901</v>
      </c>
      <c r="G37">
        <v>4210.9382502046001</v>
      </c>
      <c r="H37">
        <v>0</v>
      </c>
      <c r="I37">
        <v>250</v>
      </c>
      <c r="J37">
        <v>0.14320523716964501</v>
      </c>
      <c r="K37">
        <f t="shared" si="0"/>
        <v>35.801309292411254</v>
      </c>
      <c r="L37">
        <f t="shared" si="1"/>
        <v>117.61967183410205</v>
      </c>
      <c r="M37">
        <f t="shared" si="2"/>
        <v>4.7414076608841329</v>
      </c>
    </row>
    <row r="38" spans="1:13" x14ac:dyDescent="0.25">
      <c r="A38">
        <v>230</v>
      </c>
      <c r="B38">
        <v>3307.40077814703</v>
      </c>
      <c r="C38">
        <v>3.3381205660998798</v>
      </c>
      <c r="D38">
        <v>167.28034178586901</v>
      </c>
      <c r="E38">
        <v>5352.9709371478102</v>
      </c>
      <c r="F38">
        <v>1180.89866086131</v>
      </c>
      <c r="G38">
        <v>4172.0722762864998</v>
      </c>
      <c r="H38">
        <v>0</v>
      </c>
      <c r="I38">
        <v>250</v>
      </c>
      <c r="J38">
        <v>0.13758197100820699</v>
      </c>
      <c r="K38">
        <f t="shared" si="0"/>
        <v>34.395492752051744</v>
      </c>
      <c r="L38">
        <f t="shared" si="1"/>
        <v>121.29706372756149</v>
      </c>
      <c r="M38">
        <f t="shared" si="2"/>
        <v>4.8634378635523543</v>
      </c>
    </row>
    <row r="39" spans="1:13" x14ac:dyDescent="0.25">
      <c r="A39">
        <v>235</v>
      </c>
      <c r="B39">
        <v>3244.0967737074898</v>
      </c>
      <c r="C39">
        <v>3.3522416745483898</v>
      </c>
      <c r="D39">
        <v>164.77267274379099</v>
      </c>
      <c r="E39">
        <v>5272.7255278013099</v>
      </c>
      <c r="F39">
        <v>1141.75297651152</v>
      </c>
      <c r="G39">
        <v>4130.9725512898003</v>
      </c>
      <c r="H39">
        <v>0</v>
      </c>
      <c r="I39">
        <v>250</v>
      </c>
      <c r="J39">
        <v>0.13217951466453301</v>
      </c>
      <c r="K39">
        <f t="shared" si="0"/>
        <v>33.044878666133251</v>
      </c>
      <c r="L39">
        <f t="shared" si="1"/>
        <v>125.01097652761291</v>
      </c>
      <c r="M39">
        <f t="shared" si="2"/>
        <v>4.9863300878953378</v>
      </c>
    </row>
    <row r="40" spans="1:13" x14ac:dyDescent="0.25">
      <c r="A40">
        <v>240</v>
      </c>
      <c r="B40">
        <v>3180.6645893817599</v>
      </c>
      <c r="C40">
        <v>3.3663627829968901</v>
      </c>
      <c r="D40">
        <v>162.23137725592201</v>
      </c>
      <c r="E40">
        <v>5191.4040721895099</v>
      </c>
      <c r="F40">
        <v>1103.5881717526599</v>
      </c>
      <c r="G40">
        <v>4087.8159004368499</v>
      </c>
      <c r="H40">
        <v>0</v>
      </c>
      <c r="I40">
        <v>250</v>
      </c>
      <c r="J40">
        <v>0.12698919755924501</v>
      </c>
      <c r="K40">
        <f t="shared" si="0"/>
        <v>31.747299389811253</v>
      </c>
      <c r="L40">
        <f t="shared" si="1"/>
        <v>128.76105933434968</v>
      </c>
      <c r="M40">
        <f t="shared" si="2"/>
        <v>5.1100843339130559</v>
      </c>
    </row>
    <row r="41" spans="1:13" x14ac:dyDescent="0.25">
      <c r="A41">
        <v>245</v>
      </c>
      <c r="B41">
        <v>3117.4720527210102</v>
      </c>
      <c r="C41">
        <v>3.3805436806738398</v>
      </c>
      <c r="D41">
        <v>159.678037083383</v>
      </c>
      <c r="E41">
        <v>5109.6971866682597</v>
      </c>
      <c r="F41">
        <v>1066.4085581162899</v>
      </c>
      <c r="G41">
        <v>4043.2886285519799</v>
      </c>
      <c r="H41">
        <v>0</v>
      </c>
      <c r="I41">
        <v>250</v>
      </c>
      <c r="J41">
        <v>0.12200268958218601</v>
      </c>
      <c r="K41">
        <f t="shared" si="0"/>
        <v>30.500672395546502</v>
      </c>
      <c r="L41">
        <f t="shared" si="1"/>
        <v>132.56391780865636</v>
      </c>
      <c r="M41">
        <f t="shared" si="2"/>
        <v>5.2352300635410938</v>
      </c>
    </row>
    <row r="42" spans="1:13" x14ac:dyDescent="0.25">
      <c r="A42">
        <v>250</v>
      </c>
      <c r="B42">
        <v>3054.1397878059702</v>
      </c>
      <c r="C42">
        <v>3.3947245783507798</v>
      </c>
      <c r="D42">
        <v>157.090354596727</v>
      </c>
      <c r="E42">
        <v>5026.8913470952602</v>
      </c>
      <c r="F42">
        <v>1030.1571447926001</v>
      </c>
      <c r="G42">
        <v>3996.7342023026599</v>
      </c>
      <c r="H42">
        <v>0</v>
      </c>
      <c r="I42">
        <v>250</v>
      </c>
      <c r="J42">
        <v>0.117204381287538</v>
      </c>
      <c r="K42">
        <f t="shared" si="0"/>
        <v>29.3010953218845</v>
      </c>
      <c r="L42">
        <f t="shared" si="1"/>
        <v>136.4022115349922</v>
      </c>
      <c r="M42">
        <f t="shared" si="2"/>
        <v>5.3612451299524908</v>
      </c>
    </row>
    <row r="43" spans="1:13" x14ac:dyDescent="0.25">
      <c r="A43">
        <v>255</v>
      </c>
      <c r="B43">
        <v>2990.96703649541</v>
      </c>
      <c r="C43">
        <v>3.40890547602773</v>
      </c>
      <c r="D43">
        <v>154.483695595873</v>
      </c>
      <c r="E43">
        <v>4943.4782590679497</v>
      </c>
      <c r="F43">
        <v>994.89271897823403</v>
      </c>
      <c r="G43">
        <v>3948.5855400897099</v>
      </c>
      <c r="H43">
        <v>0</v>
      </c>
      <c r="I43">
        <v>250</v>
      </c>
      <c r="J43">
        <v>0.112594788197196</v>
      </c>
      <c r="K43">
        <f t="shared" si="0"/>
        <v>28.148697049298999</v>
      </c>
      <c r="L43">
        <f t="shared" si="1"/>
        <v>140.27596137662235</v>
      </c>
      <c r="M43">
        <f t="shared" si="2"/>
        <v>5.4881295331472613</v>
      </c>
    </row>
    <row r="44" spans="1:13" x14ac:dyDescent="0.25">
      <c r="A44">
        <v>260</v>
      </c>
      <c r="B44">
        <v>2928.03921469652</v>
      </c>
      <c r="C44">
        <v>3.4230863737046699</v>
      </c>
      <c r="D44">
        <v>151.86259299243301</v>
      </c>
      <c r="E44">
        <v>4859.6029757578599</v>
      </c>
      <c r="F44">
        <v>960.61029695798698</v>
      </c>
      <c r="G44">
        <v>3898.9926787998702</v>
      </c>
      <c r="H44">
        <v>0</v>
      </c>
      <c r="I44">
        <v>250</v>
      </c>
      <c r="J44">
        <v>0.10816648823109699</v>
      </c>
      <c r="K44">
        <f t="shared" si="0"/>
        <v>27.041622057774248</v>
      </c>
      <c r="L44">
        <f t="shared" si="1"/>
        <v>144.18486696063195</v>
      </c>
      <c r="M44">
        <f t="shared" si="2"/>
        <v>5.6158832731253909</v>
      </c>
    </row>
    <row r="45" spans="1:13" x14ac:dyDescent="0.25">
      <c r="A45">
        <v>265</v>
      </c>
      <c r="B45">
        <v>2865.2791309596801</v>
      </c>
      <c r="C45">
        <v>3.4372610611259899</v>
      </c>
      <c r="D45">
        <v>149.222914940979</v>
      </c>
      <c r="E45">
        <v>4775.1332781113397</v>
      </c>
      <c r="F45">
        <v>927.26461770464095</v>
      </c>
      <c r="G45">
        <v>3847.8686604067002</v>
      </c>
      <c r="H45">
        <v>0</v>
      </c>
      <c r="I45">
        <v>250</v>
      </c>
      <c r="J45">
        <v>0.103907541586157</v>
      </c>
      <c r="K45">
        <f t="shared" si="0"/>
        <v>25.976885396539252</v>
      </c>
      <c r="L45">
        <f t="shared" si="1"/>
        <v>148.12663649504836</v>
      </c>
      <c r="M45">
        <f t="shared" si="2"/>
        <v>5.7444498315744612</v>
      </c>
    </row>
    <row r="46" spans="1:13" x14ac:dyDescent="0.25">
      <c r="A46">
        <v>270</v>
      </c>
      <c r="B46">
        <v>2803.1887830395799</v>
      </c>
      <c r="C46">
        <v>3.45151071671844</v>
      </c>
      <c r="D46">
        <v>146.59448675221299</v>
      </c>
      <c r="E46">
        <v>4691.0235760708001</v>
      </c>
      <c r="F46">
        <v>894.88624732741096</v>
      </c>
      <c r="G46">
        <v>3796.1373287433898</v>
      </c>
      <c r="H46">
        <v>0</v>
      </c>
      <c r="I46">
        <v>250</v>
      </c>
      <c r="J46">
        <v>9.9816286680323496E-2</v>
      </c>
      <c r="K46">
        <f t="shared" si="0"/>
        <v>24.954071670080875</v>
      </c>
      <c r="L46">
        <f t="shared" si="1"/>
        <v>152.12496697662513</v>
      </c>
      <c r="M46">
        <f t="shared" si="2"/>
        <v>5.8745718410344647</v>
      </c>
    </row>
    <row r="47" spans="1:13" x14ac:dyDescent="0.25">
      <c r="A47">
        <v>275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f t="shared" si="0"/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6"/>
  <sheetViews>
    <sheetView topLeftCell="P1" workbookViewId="0">
      <selection activeCell="AA1" sqref="AA1:AA1048576"/>
    </sheetView>
  </sheetViews>
  <sheetFormatPr defaultColWidth="11.42578125" defaultRowHeight="15" x14ac:dyDescent="0.25"/>
  <sheetData>
    <row r="1" spans="1:2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</v>
      </c>
    </row>
    <row r="2" spans="1:29" x14ac:dyDescent="0.25">
      <c r="A2">
        <v>61</v>
      </c>
      <c r="B2">
        <v>8</v>
      </c>
      <c r="C2">
        <v>30</v>
      </c>
      <c r="D2" t="s">
        <v>39</v>
      </c>
      <c r="E2" t="b">
        <v>0</v>
      </c>
      <c r="F2">
        <v>2</v>
      </c>
      <c r="G2" t="b">
        <v>0</v>
      </c>
      <c r="M2">
        <v>50</v>
      </c>
      <c r="N2">
        <v>1</v>
      </c>
      <c r="O2" t="s">
        <v>40</v>
      </c>
      <c r="P2" t="b">
        <v>1</v>
      </c>
      <c r="Q2">
        <v>250</v>
      </c>
      <c r="R2">
        <v>0.34905599999999998</v>
      </c>
      <c r="S2">
        <v>43.457472000000003</v>
      </c>
      <c r="T2">
        <v>87.263999999999996</v>
      </c>
      <c r="U2">
        <v>3</v>
      </c>
      <c r="V2">
        <v>44.316000000000003</v>
      </c>
      <c r="W2">
        <v>-72.7423</v>
      </c>
      <c r="X2">
        <v>700</v>
      </c>
      <c r="Y2" t="s">
        <v>41</v>
      </c>
      <c r="Z2">
        <v>1</v>
      </c>
      <c r="AA2">
        <v>1</v>
      </c>
      <c r="AB2" t="b">
        <v>1</v>
      </c>
      <c r="AC2">
        <v>50</v>
      </c>
    </row>
    <row r="3" spans="1:29" x14ac:dyDescent="0.25">
      <c r="A3">
        <v>61</v>
      </c>
      <c r="B3">
        <v>8.4410825073719007</v>
      </c>
      <c r="C3">
        <v>35.031763221938903</v>
      </c>
      <c r="D3" t="s">
        <v>39</v>
      </c>
      <c r="E3" t="b">
        <v>0</v>
      </c>
      <c r="F3">
        <v>2</v>
      </c>
      <c r="G3" t="b">
        <v>0</v>
      </c>
      <c r="M3">
        <v>53.872479438781703</v>
      </c>
      <c r="N3">
        <v>1</v>
      </c>
      <c r="O3" t="s">
        <v>40</v>
      </c>
      <c r="P3" t="b">
        <v>1</v>
      </c>
      <c r="Q3">
        <v>250</v>
      </c>
      <c r="R3">
        <v>97.151930057550402</v>
      </c>
      <c r="S3">
        <v>45.613616706071099</v>
      </c>
      <c r="T3">
        <v>91.615841132372296</v>
      </c>
      <c r="U3">
        <v>3</v>
      </c>
      <c r="V3">
        <v>44.316000000000003</v>
      </c>
      <c r="W3">
        <v>-72.7423</v>
      </c>
      <c r="X3">
        <v>700</v>
      </c>
      <c r="Y3" t="s">
        <v>41</v>
      </c>
      <c r="Z3">
        <v>1</v>
      </c>
      <c r="AA3">
        <v>0.94301617145538297</v>
      </c>
      <c r="AB3" t="b">
        <v>1</v>
      </c>
      <c r="AC3">
        <v>55</v>
      </c>
    </row>
    <row r="4" spans="1:29" x14ac:dyDescent="0.25">
      <c r="A4">
        <v>61</v>
      </c>
      <c r="B4">
        <v>8.9554513394832593</v>
      </c>
      <c r="C4">
        <v>37.793374232016198</v>
      </c>
      <c r="D4" t="s">
        <v>39</v>
      </c>
      <c r="E4" t="b">
        <v>0</v>
      </c>
      <c r="F4">
        <v>2</v>
      </c>
      <c r="G4" t="b">
        <v>0</v>
      </c>
      <c r="M4">
        <v>57.633164405822797</v>
      </c>
      <c r="N4">
        <v>1</v>
      </c>
      <c r="O4" t="s">
        <v>40</v>
      </c>
      <c r="P4" t="b">
        <v>1</v>
      </c>
      <c r="Q4">
        <v>250</v>
      </c>
      <c r="R4">
        <v>109.352848204068</v>
      </c>
      <c r="S4">
        <v>49.102257384999298</v>
      </c>
      <c r="T4">
        <v>98.641926162814897</v>
      </c>
      <c r="U4">
        <v>3</v>
      </c>
      <c r="V4">
        <v>44.316000000000003</v>
      </c>
      <c r="W4">
        <v>-72.7423</v>
      </c>
      <c r="X4">
        <v>700</v>
      </c>
      <c r="Y4" t="s">
        <v>41</v>
      </c>
      <c r="Z4">
        <v>1</v>
      </c>
      <c r="AA4">
        <v>0.90205173237678304</v>
      </c>
      <c r="AB4" t="b">
        <v>1</v>
      </c>
      <c r="AC4">
        <v>60</v>
      </c>
    </row>
    <row r="5" spans="1:29" x14ac:dyDescent="0.25">
      <c r="A5">
        <v>61</v>
      </c>
      <c r="B5">
        <v>9.5202833712101</v>
      </c>
      <c r="C5">
        <v>39.7104524473867</v>
      </c>
      <c r="D5" t="s">
        <v>39</v>
      </c>
      <c r="E5" t="b">
        <v>0</v>
      </c>
      <c r="F5">
        <v>2</v>
      </c>
      <c r="G5" t="b">
        <v>0</v>
      </c>
      <c r="M5">
        <v>61.000092267990098</v>
      </c>
      <c r="N5">
        <v>1</v>
      </c>
      <c r="O5" t="s">
        <v>40</v>
      </c>
      <c r="P5" t="b">
        <v>1</v>
      </c>
      <c r="Q5">
        <v>250</v>
      </c>
      <c r="R5">
        <v>123.581907120808</v>
      </c>
      <c r="S5">
        <v>53.369677786401297</v>
      </c>
      <c r="T5">
        <v>107.233683201286</v>
      </c>
      <c r="U5">
        <v>3</v>
      </c>
      <c r="V5">
        <v>44.316000000000003</v>
      </c>
      <c r="W5">
        <v>-72.7423</v>
      </c>
      <c r="X5">
        <v>700</v>
      </c>
      <c r="Y5" t="s">
        <v>41</v>
      </c>
      <c r="Z5">
        <v>1</v>
      </c>
      <c r="AA5">
        <v>0.86771345174709902</v>
      </c>
      <c r="AB5" t="b">
        <v>1</v>
      </c>
      <c r="AC5">
        <v>65</v>
      </c>
    </row>
    <row r="6" spans="1:29" x14ac:dyDescent="0.25">
      <c r="A6">
        <v>61</v>
      </c>
      <c r="B6">
        <v>10.086150914430601</v>
      </c>
      <c r="C6">
        <v>41.360470220666201</v>
      </c>
      <c r="D6" t="s">
        <v>39</v>
      </c>
      <c r="E6" t="b">
        <v>0</v>
      </c>
      <c r="F6">
        <v>2</v>
      </c>
      <c r="G6" t="b">
        <v>0</v>
      </c>
      <c r="M6">
        <v>63.493228673934901</v>
      </c>
      <c r="N6">
        <v>1</v>
      </c>
      <c r="O6" t="s">
        <v>40</v>
      </c>
      <c r="P6" t="b">
        <v>1</v>
      </c>
      <c r="Q6">
        <v>250</v>
      </c>
      <c r="R6">
        <v>138.70945530633099</v>
      </c>
      <c r="S6">
        <v>57.521902370720703</v>
      </c>
      <c r="T6">
        <v>115.598642562667</v>
      </c>
      <c r="U6">
        <v>3</v>
      </c>
      <c r="V6">
        <v>44.316000000000003</v>
      </c>
      <c r="W6">
        <v>-72.7423</v>
      </c>
      <c r="X6">
        <v>700</v>
      </c>
      <c r="Y6" t="s">
        <v>41</v>
      </c>
      <c r="Z6">
        <v>1</v>
      </c>
      <c r="AA6">
        <v>0.83338689714680603</v>
      </c>
      <c r="AB6" t="b">
        <v>1</v>
      </c>
      <c r="AC6">
        <v>70</v>
      </c>
    </row>
    <row r="7" spans="1:29" x14ac:dyDescent="0.25">
      <c r="A7">
        <v>61</v>
      </c>
      <c r="B7">
        <v>10.6625745594501</v>
      </c>
      <c r="C7">
        <v>41.3801339979929</v>
      </c>
      <c r="D7" t="s">
        <v>39</v>
      </c>
      <c r="E7" t="b">
        <v>0</v>
      </c>
      <c r="F7">
        <v>2</v>
      </c>
      <c r="G7" t="b">
        <v>0</v>
      </c>
      <c r="M7">
        <v>65.839387178421006</v>
      </c>
      <c r="N7">
        <v>1</v>
      </c>
      <c r="O7" t="s">
        <v>40</v>
      </c>
      <c r="P7" t="b">
        <v>1</v>
      </c>
      <c r="Q7">
        <v>250</v>
      </c>
      <c r="R7">
        <v>155.016991617559</v>
      </c>
      <c r="S7">
        <v>61.925710314112003</v>
      </c>
      <c r="T7">
        <v>124.47148859469399</v>
      </c>
      <c r="U7">
        <v>3</v>
      </c>
      <c r="V7">
        <v>44.316000000000003</v>
      </c>
      <c r="W7">
        <v>-72.7423</v>
      </c>
      <c r="X7">
        <v>700</v>
      </c>
      <c r="Y7" t="s">
        <v>41</v>
      </c>
      <c r="Z7">
        <v>1</v>
      </c>
      <c r="AA7">
        <v>0.80295383942024101</v>
      </c>
      <c r="AB7" t="b">
        <v>1</v>
      </c>
      <c r="AC7">
        <v>75</v>
      </c>
    </row>
    <row r="8" spans="1:29" x14ac:dyDescent="0.25">
      <c r="A8">
        <v>61</v>
      </c>
      <c r="B8">
        <v>11.232064694166199</v>
      </c>
      <c r="C8">
        <v>40.998272284250099</v>
      </c>
      <c r="D8" t="s">
        <v>39</v>
      </c>
      <c r="E8" t="b">
        <v>0</v>
      </c>
      <c r="F8">
        <v>2</v>
      </c>
      <c r="G8" t="b">
        <v>0</v>
      </c>
      <c r="M8">
        <v>67.597267746925397</v>
      </c>
      <c r="N8">
        <v>1</v>
      </c>
      <c r="O8" t="s">
        <v>40</v>
      </c>
      <c r="P8" t="b">
        <v>1</v>
      </c>
      <c r="Q8">
        <v>250</v>
      </c>
      <c r="R8">
        <v>172.01817459028001</v>
      </c>
      <c r="S8">
        <v>66.204061939025607</v>
      </c>
      <c r="T8">
        <v>133.09619657641201</v>
      </c>
      <c r="U8">
        <v>3</v>
      </c>
      <c r="V8">
        <v>44.316000000000003</v>
      </c>
      <c r="W8">
        <v>-72.7423</v>
      </c>
      <c r="X8">
        <v>700</v>
      </c>
      <c r="Y8" t="s">
        <v>41</v>
      </c>
      <c r="Z8">
        <v>1</v>
      </c>
      <c r="AA8">
        <v>0.77373333889530305</v>
      </c>
      <c r="AB8" t="b">
        <v>1</v>
      </c>
      <c r="AC8">
        <v>80</v>
      </c>
    </row>
    <row r="9" spans="1:29" x14ac:dyDescent="0.25">
      <c r="A9">
        <v>61</v>
      </c>
      <c r="B9">
        <v>11.781197220087099</v>
      </c>
      <c r="C9">
        <v>40.927605918720701</v>
      </c>
      <c r="D9" t="s">
        <v>39</v>
      </c>
      <c r="E9" t="b">
        <v>0</v>
      </c>
      <c r="F9">
        <v>2</v>
      </c>
      <c r="G9" t="b">
        <v>0</v>
      </c>
      <c r="M9">
        <v>69.400458574295001</v>
      </c>
      <c r="N9">
        <v>1</v>
      </c>
      <c r="O9" t="s">
        <v>40</v>
      </c>
      <c r="P9" t="b">
        <v>1</v>
      </c>
      <c r="Q9">
        <v>250</v>
      </c>
      <c r="R9">
        <v>189.249174924263</v>
      </c>
      <c r="S9">
        <v>70.056297201787999</v>
      </c>
      <c r="T9">
        <v>140.869591103273</v>
      </c>
      <c r="U9">
        <v>3</v>
      </c>
      <c r="V9">
        <v>44.316000000000003</v>
      </c>
      <c r="W9">
        <v>-72.7423</v>
      </c>
      <c r="X9">
        <v>700</v>
      </c>
      <c r="Y9" t="s">
        <v>41</v>
      </c>
      <c r="Z9">
        <v>1</v>
      </c>
      <c r="AA9">
        <v>0.74436039765905804</v>
      </c>
      <c r="AB9" t="b">
        <v>1</v>
      </c>
      <c r="AC9">
        <v>85</v>
      </c>
    </row>
    <row r="10" spans="1:29" x14ac:dyDescent="0.25">
      <c r="A10">
        <v>61</v>
      </c>
      <c r="B10">
        <v>12.3174144327641</v>
      </c>
      <c r="C10">
        <v>40.920817735405798</v>
      </c>
      <c r="D10" t="s">
        <v>39</v>
      </c>
      <c r="E10" t="b">
        <v>0</v>
      </c>
      <c r="F10">
        <v>2</v>
      </c>
      <c r="G10" t="b">
        <v>0</v>
      </c>
      <c r="M10">
        <v>70.791735291481004</v>
      </c>
      <c r="N10">
        <v>1</v>
      </c>
      <c r="O10" t="s">
        <v>40</v>
      </c>
      <c r="P10" t="b">
        <v>1</v>
      </c>
      <c r="Q10">
        <v>250</v>
      </c>
      <c r="R10">
        <v>206.868445143591</v>
      </c>
      <c r="S10">
        <v>73.5877565257626</v>
      </c>
      <c r="T10">
        <v>148.00298683209999</v>
      </c>
      <c r="U10">
        <v>3</v>
      </c>
      <c r="V10">
        <v>44.316000000000003</v>
      </c>
      <c r="W10">
        <v>-72.7423</v>
      </c>
      <c r="X10">
        <v>700</v>
      </c>
      <c r="Y10" t="s">
        <v>41</v>
      </c>
      <c r="Z10">
        <v>1</v>
      </c>
      <c r="AA10">
        <v>0.71544496179380201</v>
      </c>
      <c r="AB10" t="b">
        <v>1</v>
      </c>
      <c r="AC10">
        <v>90</v>
      </c>
    </row>
    <row r="11" spans="1:29" x14ac:dyDescent="0.25">
      <c r="A11">
        <v>61</v>
      </c>
      <c r="B11">
        <v>12.8368349373341</v>
      </c>
      <c r="C11">
        <v>41.047502899815697</v>
      </c>
      <c r="D11" t="s">
        <v>39</v>
      </c>
      <c r="E11" t="b">
        <v>0</v>
      </c>
      <c r="F11">
        <v>2</v>
      </c>
      <c r="G11" t="b">
        <v>0</v>
      </c>
      <c r="M11">
        <v>72.249531745910602</v>
      </c>
      <c r="N11">
        <v>1</v>
      </c>
      <c r="O11" t="s">
        <v>40</v>
      </c>
      <c r="P11" t="b">
        <v>1</v>
      </c>
      <c r="Q11">
        <v>250</v>
      </c>
      <c r="R11">
        <v>224.68343560259899</v>
      </c>
      <c r="S11">
        <v>74.5506331287948</v>
      </c>
      <c r="T11">
        <v>150</v>
      </c>
      <c r="U11">
        <v>3</v>
      </c>
      <c r="V11">
        <v>44.316000000000003</v>
      </c>
      <c r="W11">
        <v>-72.7423</v>
      </c>
      <c r="X11">
        <v>700</v>
      </c>
      <c r="Y11" t="s">
        <v>41</v>
      </c>
      <c r="Z11">
        <v>1</v>
      </c>
      <c r="AA11">
        <v>0.66760595678849699</v>
      </c>
      <c r="AB11" t="b">
        <v>1</v>
      </c>
      <c r="AC11">
        <v>95</v>
      </c>
    </row>
    <row r="12" spans="1:29" x14ac:dyDescent="0.25">
      <c r="A12">
        <v>61</v>
      </c>
      <c r="B12">
        <v>13.3748615086079</v>
      </c>
      <c r="C12">
        <v>40.842499218265999</v>
      </c>
      <c r="D12" t="s">
        <v>39</v>
      </c>
      <c r="E12" t="b">
        <v>0</v>
      </c>
      <c r="F12">
        <v>2</v>
      </c>
      <c r="G12" t="b">
        <v>0</v>
      </c>
      <c r="M12">
        <v>73.601713895797701</v>
      </c>
      <c r="N12">
        <v>1</v>
      </c>
      <c r="O12" t="s">
        <v>40</v>
      </c>
      <c r="P12" t="b">
        <v>1</v>
      </c>
      <c r="Q12">
        <v>250</v>
      </c>
      <c r="R12">
        <v>243.912315930549</v>
      </c>
      <c r="S12">
        <v>74.512175368138898</v>
      </c>
      <c r="T12">
        <v>150</v>
      </c>
      <c r="U12">
        <v>3</v>
      </c>
      <c r="V12">
        <v>44.316000000000003</v>
      </c>
      <c r="W12">
        <v>-72.7423</v>
      </c>
      <c r="X12">
        <v>700</v>
      </c>
      <c r="Y12" t="s">
        <v>41</v>
      </c>
      <c r="Z12">
        <v>1</v>
      </c>
      <c r="AA12">
        <v>0.61497509638960002</v>
      </c>
      <c r="AB12" t="b">
        <v>1</v>
      </c>
      <c r="AC12">
        <v>100</v>
      </c>
    </row>
    <row r="13" spans="1:29" x14ac:dyDescent="0.25">
      <c r="A13">
        <v>61</v>
      </c>
      <c r="B13">
        <v>13.9037696421146</v>
      </c>
      <c r="C13">
        <v>40.999028612711797</v>
      </c>
      <c r="D13" t="s">
        <v>39</v>
      </c>
      <c r="E13" t="b">
        <v>0</v>
      </c>
      <c r="F13">
        <v>2</v>
      </c>
      <c r="G13" t="b">
        <v>0</v>
      </c>
      <c r="M13">
        <v>74.539670109748798</v>
      </c>
      <c r="N13">
        <v>1</v>
      </c>
      <c r="O13" t="s">
        <v>40</v>
      </c>
      <c r="P13" t="b">
        <v>1</v>
      </c>
      <c r="Q13">
        <v>250</v>
      </c>
      <c r="R13">
        <v>263.584743790858</v>
      </c>
      <c r="S13">
        <v>74.472830512418298</v>
      </c>
      <c r="T13">
        <v>150</v>
      </c>
      <c r="U13">
        <v>3</v>
      </c>
      <c r="V13">
        <v>44.316000000000003</v>
      </c>
      <c r="W13">
        <v>-72.7423</v>
      </c>
      <c r="X13">
        <v>700</v>
      </c>
      <c r="Y13" t="s">
        <v>41</v>
      </c>
      <c r="Z13">
        <v>1</v>
      </c>
      <c r="AA13">
        <v>0.56907694217316995</v>
      </c>
      <c r="AB13" t="b">
        <v>1</v>
      </c>
      <c r="AC13">
        <v>105</v>
      </c>
    </row>
    <row r="14" spans="1:29" x14ac:dyDescent="0.25">
      <c r="A14">
        <v>61</v>
      </c>
      <c r="B14">
        <v>14.4365930259228</v>
      </c>
      <c r="C14">
        <v>41.1547332659486</v>
      </c>
      <c r="D14" t="s">
        <v>39</v>
      </c>
      <c r="E14" t="b">
        <v>0</v>
      </c>
      <c r="F14">
        <v>2</v>
      </c>
      <c r="G14" t="b">
        <v>0</v>
      </c>
      <c r="M14">
        <v>75.441592454910307</v>
      </c>
      <c r="N14">
        <v>1</v>
      </c>
      <c r="O14" t="s">
        <v>40</v>
      </c>
      <c r="P14" t="b">
        <v>1</v>
      </c>
      <c r="Q14">
        <v>250</v>
      </c>
      <c r="R14">
        <v>284.17415001041201</v>
      </c>
      <c r="S14">
        <v>74.431651699979199</v>
      </c>
      <c r="T14">
        <v>150</v>
      </c>
      <c r="U14">
        <v>3</v>
      </c>
      <c r="V14">
        <v>44.316000000000003</v>
      </c>
      <c r="W14">
        <v>-72.7423</v>
      </c>
      <c r="X14">
        <v>700</v>
      </c>
      <c r="Y14" t="s">
        <v>41</v>
      </c>
      <c r="Z14">
        <v>1</v>
      </c>
      <c r="AA14">
        <v>0.52784533707412795</v>
      </c>
      <c r="AB14" t="b">
        <v>1</v>
      </c>
      <c r="AC14">
        <v>110</v>
      </c>
    </row>
    <row r="15" spans="1:29" x14ac:dyDescent="0.25">
      <c r="A15">
        <v>61</v>
      </c>
      <c r="B15">
        <v>14.9751456081867</v>
      </c>
      <c r="C15">
        <v>40.737871867916198</v>
      </c>
      <c r="D15" t="s">
        <v>39</v>
      </c>
      <c r="E15" t="b">
        <v>0</v>
      </c>
      <c r="F15">
        <v>2</v>
      </c>
      <c r="G15" t="b">
        <v>0</v>
      </c>
      <c r="M15">
        <v>76.1135799884796</v>
      </c>
      <c r="N15">
        <v>1</v>
      </c>
      <c r="O15" t="s">
        <v>40</v>
      </c>
      <c r="P15" t="b">
        <v>1</v>
      </c>
      <c r="Q15">
        <v>250</v>
      </c>
      <c r="R15">
        <v>305.77167339244801</v>
      </c>
      <c r="S15">
        <v>74.388456653215101</v>
      </c>
      <c r="T15">
        <v>150</v>
      </c>
      <c r="U15">
        <v>3</v>
      </c>
      <c r="V15">
        <v>44.316000000000003</v>
      </c>
      <c r="W15">
        <v>-72.7423</v>
      </c>
      <c r="X15">
        <v>700</v>
      </c>
      <c r="Y15" t="s">
        <v>41</v>
      </c>
      <c r="Z15">
        <v>1</v>
      </c>
      <c r="AA15">
        <v>0.490562118903276</v>
      </c>
      <c r="AB15" t="b">
        <v>1</v>
      </c>
      <c r="AC15">
        <v>115</v>
      </c>
    </row>
    <row r="16" spans="1:29" x14ac:dyDescent="0.25">
      <c r="A16">
        <v>61</v>
      </c>
      <c r="B16">
        <v>15.518014639616</v>
      </c>
      <c r="C16">
        <v>41.549124939686898</v>
      </c>
      <c r="D16" t="s">
        <v>39</v>
      </c>
      <c r="E16" t="b">
        <v>0</v>
      </c>
      <c r="F16">
        <v>2</v>
      </c>
      <c r="G16" t="b">
        <v>0</v>
      </c>
      <c r="M16">
        <v>77.169977784156799</v>
      </c>
      <c r="N16">
        <v>1</v>
      </c>
      <c r="O16" t="s">
        <v>40</v>
      </c>
      <c r="P16" t="b">
        <v>1</v>
      </c>
      <c r="Q16">
        <v>250</v>
      </c>
      <c r="R16">
        <v>328.34276928750199</v>
      </c>
      <c r="S16">
        <v>74.343314461424995</v>
      </c>
      <c r="T16">
        <v>150</v>
      </c>
      <c r="U16">
        <v>3</v>
      </c>
      <c r="V16">
        <v>44.316000000000003</v>
      </c>
      <c r="W16">
        <v>-72.7423</v>
      </c>
      <c r="X16">
        <v>700</v>
      </c>
      <c r="Y16" t="s">
        <v>41</v>
      </c>
      <c r="Z16">
        <v>1</v>
      </c>
      <c r="AA16">
        <v>0.45683966278745097</v>
      </c>
      <c r="AB16" t="b">
        <v>1</v>
      </c>
      <c r="AC16">
        <v>120</v>
      </c>
    </row>
    <row r="17" spans="1:29" x14ac:dyDescent="0.25">
      <c r="A17">
        <v>61</v>
      </c>
      <c r="B17">
        <v>16.079000443220099</v>
      </c>
      <c r="C17">
        <v>41.934220223501498</v>
      </c>
      <c r="D17" t="s">
        <v>39</v>
      </c>
      <c r="E17" t="b">
        <v>0</v>
      </c>
      <c r="F17">
        <v>2</v>
      </c>
      <c r="G17" t="b">
        <v>0</v>
      </c>
      <c r="M17">
        <v>78.327478289604201</v>
      </c>
      <c r="N17">
        <v>1</v>
      </c>
      <c r="O17" t="s">
        <v>40</v>
      </c>
      <c r="P17" t="b">
        <v>1</v>
      </c>
      <c r="Q17">
        <v>250</v>
      </c>
      <c r="R17">
        <v>352.511457037566</v>
      </c>
      <c r="S17">
        <v>74.294977085924899</v>
      </c>
      <c r="T17">
        <v>150</v>
      </c>
      <c r="U17">
        <v>3</v>
      </c>
      <c r="V17">
        <v>44.316000000000003</v>
      </c>
      <c r="W17">
        <v>-72.7423</v>
      </c>
      <c r="X17">
        <v>700</v>
      </c>
      <c r="Y17" t="s">
        <v>41</v>
      </c>
      <c r="Z17">
        <v>1</v>
      </c>
      <c r="AA17">
        <v>0.42551808460516299</v>
      </c>
      <c r="AB17" t="b">
        <v>1</v>
      </c>
      <c r="AC17">
        <v>125</v>
      </c>
    </row>
    <row r="18" spans="1:29" x14ac:dyDescent="0.25">
      <c r="A18">
        <v>61</v>
      </c>
      <c r="B18">
        <v>16.6399862468243</v>
      </c>
      <c r="C18">
        <v>42.077528741251101</v>
      </c>
      <c r="D18" t="s">
        <v>39</v>
      </c>
      <c r="E18" t="b">
        <v>0</v>
      </c>
      <c r="F18">
        <v>2</v>
      </c>
      <c r="G18" t="b">
        <v>0</v>
      </c>
      <c r="M18">
        <v>79.1398055553436</v>
      </c>
      <c r="N18">
        <v>1</v>
      </c>
      <c r="O18" t="s">
        <v>40</v>
      </c>
      <c r="P18" t="b">
        <v>1</v>
      </c>
      <c r="Q18">
        <v>250</v>
      </c>
      <c r="R18">
        <v>377.53834551855198</v>
      </c>
      <c r="S18">
        <v>74.244923308962896</v>
      </c>
      <c r="T18">
        <v>150</v>
      </c>
      <c r="U18">
        <v>3</v>
      </c>
      <c r="V18">
        <v>44.316000000000003</v>
      </c>
      <c r="W18">
        <v>-72.7423</v>
      </c>
      <c r="X18">
        <v>700</v>
      </c>
      <c r="Y18" t="s">
        <v>41</v>
      </c>
      <c r="Z18">
        <v>1</v>
      </c>
      <c r="AA18">
        <v>0.39731063554345403</v>
      </c>
      <c r="AB18" t="b">
        <v>1</v>
      </c>
      <c r="AC18">
        <v>130</v>
      </c>
    </row>
    <row r="19" spans="1:29" x14ac:dyDescent="0.25">
      <c r="A19">
        <v>61</v>
      </c>
      <c r="B19">
        <v>17.194063991308202</v>
      </c>
      <c r="C19">
        <v>42.150956722920299</v>
      </c>
      <c r="D19" t="s">
        <v>39</v>
      </c>
      <c r="E19" t="b">
        <v>0</v>
      </c>
      <c r="F19">
        <v>2</v>
      </c>
      <c r="G19" t="b">
        <v>0</v>
      </c>
      <c r="M19">
        <v>80.004755616188007</v>
      </c>
      <c r="N19">
        <v>1</v>
      </c>
      <c r="O19" t="s">
        <v>40</v>
      </c>
      <c r="P19" t="b">
        <v>1</v>
      </c>
      <c r="Q19">
        <v>250</v>
      </c>
      <c r="R19">
        <v>403.09946311847398</v>
      </c>
      <c r="S19">
        <v>74.193801073763098</v>
      </c>
      <c r="T19">
        <v>150</v>
      </c>
      <c r="U19">
        <v>3</v>
      </c>
      <c r="V19">
        <v>44.316000000000003</v>
      </c>
      <c r="W19">
        <v>-72.7423</v>
      </c>
      <c r="X19">
        <v>700</v>
      </c>
      <c r="Y19" t="s">
        <v>41</v>
      </c>
      <c r="Z19">
        <v>1</v>
      </c>
      <c r="AA19">
        <v>0.37211659583856499</v>
      </c>
      <c r="AB19" t="b">
        <v>1</v>
      </c>
      <c r="AC19">
        <v>135</v>
      </c>
    </row>
    <row r="20" spans="1:29" x14ac:dyDescent="0.25">
      <c r="A20">
        <v>61</v>
      </c>
      <c r="B20">
        <v>17.7435218393803</v>
      </c>
      <c r="C20">
        <v>42.264039139318299</v>
      </c>
      <c r="D20" t="s">
        <v>39</v>
      </c>
      <c r="E20" t="b">
        <v>0</v>
      </c>
      <c r="F20">
        <v>2</v>
      </c>
      <c r="G20" t="b">
        <v>0</v>
      </c>
      <c r="M20">
        <v>80.927448987960801</v>
      </c>
      <c r="N20">
        <v>1</v>
      </c>
      <c r="O20" t="s">
        <v>40</v>
      </c>
      <c r="P20" t="b">
        <v>1</v>
      </c>
      <c r="Q20">
        <v>250</v>
      </c>
      <c r="R20">
        <v>429.27420546523302</v>
      </c>
      <c r="S20">
        <v>74.141451589069504</v>
      </c>
      <c r="T20">
        <v>150</v>
      </c>
      <c r="U20">
        <v>3</v>
      </c>
      <c r="V20">
        <v>44.316000000000003</v>
      </c>
      <c r="W20">
        <v>-72.7423</v>
      </c>
      <c r="X20">
        <v>700</v>
      </c>
      <c r="Y20" t="s">
        <v>41</v>
      </c>
      <c r="Z20">
        <v>1</v>
      </c>
      <c r="AA20">
        <v>0.349427005141003</v>
      </c>
      <c r="AB20" t="b">
        <v>1</v>
      </c>
      <c r="AC20">
        <v>140</v>
      </c>
    </row>
    <row r="21" spans="1:29" x14ac:dyDescent="0.25">
      <c r="A21">
        <v>61</v>
      </c>
      <c r="B21">
        <v>18.2848819196224</v>
      </c>
      <c r="C21">
        <v>42.616214420634002</v>
      </c>
      <c r="D21" t="s">
        <v>39</v>
      </c>
      <c r="E21" t="b">
        <v>0</v>
      </c>
      <c r="F21">
        <v>2</v>
      </c>
      <c r="G21" t="b">
        <v>0</v>
      </c>
      <c r="M21">
        <v>82.194812297821002</v>
      </c>
      <c r="N21">
        <v>1</v>
      </c>
      <c r="O21" t="s">
        <v>40</v>
      </c>
      <c r="P21" t="b">
        <v>1</v>
      </c>
      <c r="Q21">
        <v>250</v>
      </c>
      <c r="R21">
        <v>455.86837244161802</v>
      </c>
      <c r="S21">
        <v>74.0882632551168</v>
      </c>
      <c r="T21">
        <v>150</v>
      </c>
      <c r="U21">
        <v>3</v>
      </c>
      <c r="V21">
        <v>44.316000000000003</v>
      </c>
      <c r="W21">
        <v>-72.7423</v>
      </c>
      <c r="X21">
        <v>700</v>
      </c>
      <c r="Y21" t="s">
        <v>41</v>
      </c>
      <c r="Z21">
        <v>1</v>
      </c>
      <c r="AA21">
        <v>0.32904234877406402</v>
      </c>
      <c r="AB21" t="b">
        <v>1</v>
      </c>
      <c r="AC21">
        <v>145</v>
      </c>
    </row>
    <row r="22" spans="1:29" x14ac:dyDescent="0.25">
      <c r="A22">
        <v>61</v>
      </c>
      <c r="B22">
        <v>18.879455953836398</v>
      </c>
      <c r="C22">
        <v>42.835988784676303</v>
      </c>
      <c r="D22" t="s">
        <v>39</v>
      </c>
      <c r="E22" t="b">
        <v>0</v>
      </c>
      <c r="F22">
        <v>2</v>
      </c>
      <c r="G22" t="b">
        <v>0</v>
      </c>
      <c r="M22">
        <v>83.020672082901001</v>
      </c>
      <c r="N22">
        <v>1</v>
      </c>
      <c r="O22" t="s">
        <v>40</v>
      </c>
      <c r="P22" t="b">
        <v>1</v>
      </c>
      <c r="Q22">
        <v>250</v>
      </c>
      <c r="R22">
        <v>485.99756417337102</v>
      </c>
      <c r="S22">
        <v>74.028004871653295</v>
      </c>
      <c r="T22">
        <v>150</v>
      </c>
      <c r="U22">
        <v>3</v>
      </c>
      <c r="V22">
        <v>44.316000000000003</v>
      </c>
      <c r="W22">
        <v>-72.7423</v>
      </c>
      <c r="X22">
        <v>700</v>
      </c>
      <c r="Y22" t="s">
        <v>41</v>
      </c>
      <c r="Z22">
        <v>1</v>
      </c>
      <c r="AA22">
        <v>0.30864352222656399</v>
      </c>
      <c r="AB22" t="b">
        <v>1</v>
      </c>
      <c r="AC22">
        <v>150</v>
      </c>
    </row>
    <row r="23" spans="1:29" x14ac:dyDescent="0.25">
      <c r="A23">
        <v>61</v>
      </c>
      <c r="B23">
        <v>19.4740299880505</v>
      </c>
      <c r="C23">
        <v>42.872235567426202</v>
      </c>
      <c r="D23" t="s">
        <v>39</v>
      </c>
      <c r="E23" t="b">
        <v>0</v>
      </c>
      <c r="F23">
        <v>2</v>
      </c>
      <c r="G23" t="b">
        <v>0</v>
      </c>
      <c r="M23">
        <v>83.614875018596607</v>
      </c>
      <c r="N23">
        <v>1</v>
      </c>
      <c r="O23" t="s">
        <v>40</v>
      </c>
      <c r="P23" t="b">
        <v>1</v>
      </c>
      <c r="Q23">
        <v>250</v>
      </c>
      <c r="R23">
        <v>517.09080026057904</v>
      </c>
      <c r="S23">
        <v>73.965818399478806</v>
      </c>
      <c r="T23">
        <v>150</v>
      </c>
      <c r="U23">
        <v>3</v>
      </c>
      <c r="V23">
        <v>44.316000000000003</v>
      </c>
      <c r="W23">
        <v>-72.7423</v>
      </c>
      <c r="X23">
        <v>700</v>
      </c>
      <c r="Y23" t="s">
        <v>41</v>
      </c>
      <c r="Z23">
        <v>1</v>
      </c>
      <c r="AA23">
        <v>0.29008444923872201</v>
      </c>
      <c r="AB23" t="b">
        <v>1</v>
      </c>
      <c r="AC23">
        <v>155</v>
      </c>
    </row>
    <row r="24" spans="1:29" x14ac:dyDescent="0.25">
      <c r="A24">
        <v>61</v>
      </c>
      <c r="B24">
        <v>20.068604022264498</v>
      </c>
      <c r="C24">
        <v>43.122144802027698</v>
      </c>
      <c r="D24" t="s">
        <v>39</v>
      </c>
      <c r="E24" t="b">
        <v>0</v>
      </c>
      <c r="F24">
        <v>2</v>
      </c>
      <c r="G24" t="b">
        <v>0</v>
      </c>
      <c r="M24">
        <v>84.209077954292297</v>
      </c>
      <c r="N24">
        <v>1</v>
      </c>
      <c r="O24" t="s">
        <v>40</v>
      </c>
      <c r="P24" t="b">
        <v>1</v>
      </c>
      <c r="Q24">
        <v>250</v>
      </c>
      <c r="R24">
        <v>549.14808070324102</v>
      </c>
      <c r="S24">
        <v>73.901703838593505</v>
      </c>
      <c r="T24">
        <v>150</v>
      </c>
      <c r="U24">
        <v>3</v>
      </c>
      <c r="V24">
        <v>44.316000000000003</v>
      </c>
      <c r="W24">
        <v>-72.7423</v>
      </c>
      <c r="X24">
        <v>700</v>
      </c>
      <c r="Y24" t="s">
        <v>41</v>
      </c>
      <c r="Z24">
        <v>1</v>
      </c>
      <c r="AA24">
        <v>0.27315036739800602</v>
      </c>
      <c r="AB24" t="b">
        <v>1</v>
      </c>
      <c r="AC24">
        <v>160</v>
      </c>
    </row>
    <row r="25" spans="1:29" x14ac:dyDescent="0.25">
      <c r="A25">
        <v>61</v>
      </c>
      <c r="B25">
        <v>20.6897457540035</v>
      </c>
      <c r="C25">
        <v>42.472776376669898</v>
      </c>
      <c r="D25" t="s">
        <v>39</v>
      </c>
      <c r="E25" t="b">
        <v>0</v>
      </c>
      <c r="F25">
        <v>2</v>
      </c>
      <c r="G25" t="b">
        <v>0</v>
      </c>
      <c r="M25">
        <v>84.4600514769554</v>
      </c>
      <c r="N25">
        <v>1</v>
      </c>
      <c r="O25" t="s">
        <v>40</v>
      </c>
      <c r="P25" t="b">
        <v>1</v>
      </c>
      <c r="Q25">
        <v>250</v>
      </c>
      <c r="R25">
        <v>583.66741746459604</v>
      </c>
      <c r="S25">
        <v>73.832665165070793</v>
      </c>
      <c r="T25">
        <v>150</v>
      </c>
      <c r="U25">
        <v>3</v>
      </c>
      <c r="V25">
        <v>44.316000000000003</v>
      </c>
      <c r="W25">
        <v>-72.7423</v>
      </c>
      <c r="X25">
        <v>700</v>
      </c>
      <c r="Y25" t="s">
        <v>41</v>
      </c>
      <c r="Z25">
        <v>1</v>
      </c>
      <c r="AA25">
        <v>0.25699567169877002</v>
      </c>
      <c r="AB25" t="b">
        <v>1</v>
      </c>
      <c r="AC25">
        <v>165</v>
      </c>
    </row>
    <row r="26" spans="1:29" x14ac:dyDescent="0.25">
      <c r="A26">
        <v>61</v>
      </c>
      <c r="B26">
        <v>21.294817835092498</v>
      </c>
      <c r="C26">
        <v>42.778529443707001</v>
      </c>
      <c r="D26" t="s">
        <v>39</v>
      </c>
      <c r="E26" t="b">
        <v>0</v>
      </c>
      <c r="F26">
        <v>2</v>
      </c>
      <c r="G26" t="b">
        <v>0</v>
      </c>
      <c r="M26">
        <v>84.9113492071629</v>
      </c>
      <c r="N26">
        <v>1</v>
      </c>
      <c r="O26" t="s">
        <v>40</v>
      </c>
      <c r="P26" t="b">
        <v>1</v>
      </c>
      <c r="Q26">
        <v>250</v>
      </c>
      <c r="R26">
        <v>618.30534504969899</v>
      </c>
      <c r="S26">
        <v>73.763389309900603</v>
      </c>
      <c r="T26">
        <v>150</v>
      </c>
      <c r="U26">
        <v>3</v>
      </c>
      <c r="V26">
        <v>44.316000000000003</v>
      </c>
      <c r="W26">
        <v>-72.7423</v>
      </c>
      <c r="X26">
        <v>700</v>
      </c>
      <c r="Y26" t="s">
        <v>41</v>
      </c>
      <c r="Z26">
        <v>1</v>
      </c>
      <c r="AA26">
        <v>0.24259858207750601</v>
      </c>
      <c r="AB26" t="b">
        <v>1</v>
      </c>
      <c r="AC26">
        <v>170</v>
      </c>
    </row>
    <row r="27" spans="1:29" x14ac:dyDescent="0.25">
      <c r="A27">
        <v>61</v>
      </c>
      <c r="B27">
        <v>21.8998899161816</v>
      </c>
      <c r="C27">
        <v>43.0810495822886</v>
      </c>
      <c r="D27" t="s">
        <v>39</v>
      </c>
      <c r="E27" t="b">
        <v>0</v>
      </c>
      <c r="F27">
        <v>2</v>
      </c>
      <c r="G27" t="b">
        <v>0</v>
      </c>
      <c r="M27">
        <v>85.3626469373703</v>
      </c>
      <c r="N27">
        <v>1</v>
      </c>
      <c r="O27" t="s">
        <v>40</v>
      </c>
      <c r="P27" t="b">
        <v>1</v>
      </c>
      <c r="Q27">
        <v>250</v>
      </c>
      <c r="R27">
        <v>653.941660667777</v>
      </c>
      <c r="S27">
        <v>73.692116678664405</v>
      </c>
      <c r="T27">
        <v>150</v>
      </c>
      <c r="U27">
        <v>3</v>
      </c>
      <c r="V27">
        <v>44.316000000000003</v>
      </c>
      <c r="W27">
        <v>-72.7423</v>
      </c>
      <c r="X27">
        <v>700</v>
      </c>
      <c r="Y27" t="s">
        <v>41</v>
      </c>
      <c r="Z27">
        <v>1</v>
      </c>
      <c r="AA27">
        <v>0.229378259594023</v>
      </c>
      <c r="AB27" t="b">
        <v>1</v>
      </c>
      <c r="AC27">
        <v>175</v>
      </c>
    </row>
    <row r="28" spans="1:29" x14ac:dyDescent="0.25">
      <c r="A28">
        <v>61</v>
      </c>
      <c r="B28">
        <v>22.511936217546499</v>
      </c>
      <c r="C28">
        <v>42.691030309410102</v>
      </c>
      <c r="D28" t="s">
        <v>39</v>
      </c>
      <c r="E28" t="b">
        <v>0</v>
      </c>
      <c r="F28">
        <v>2</v>
      </c>
      <c r="G28" t="b">
        <v>0</v>
      </c>
      <c r="M28">
        <v>85.789194375276594</v>
      </c>
      <c r="N28">
        <v>1</v>
      </c>
      <c r="O28" t="s">
        <v>40</v>
      </c>
      <c r="P28" t="b">
        <v>1</v>
      </c>
      <c r="Q28">
        <v>250</v>
      </c>
      <c r="R28">
        <v>691.00444573043706</v>
      </c>
      <c r="S28">
        <v>73.617991108539101</v>
      </c>
      <c r="T28">
        <v>150</v>
      </c>
      <c r="U28">
        <v>3</v>
      </c>
      <c r="V28">
        <v>44.316000000000003</v>
      </c>
      <c r="W28">
        <v>-72.7423</v>
      </c>
      <c r="X28">
        <v>700</v>
      </c>
      <c r="Y28" t="s">
        <v>41</v>
      </c>
      <c r="Z28">
        <v>1</v>
      </c>
      <c r="AA28">
        <v>0.217075303823031</v>
      </c>
      <c r="AB28" t="b">
        <v>1</v>
      </c>
      <c r="AC28">
        <v>180</v>
      </c>
    </row>
    <row r="29" spans="1:29" x14ac:dyDescent="0.25">
      <c r="A29">
        <v>61</v>
      </c>
      <c r="B29">
        <v>23.120225995778998</v>
      </c>
      <c r="C29">
        <v>43.062658745781697</v>
      </c>
      <c r="D29" t="s">
        <v>39</v>
      </c>
      <c r="E29" t="b">
        <v>0</v>
      </c>
      <c r="F29">
        <v>2</v>
      </c>
      <c r="G29" t="b">
        <v>0</v>
      </c>
      <c r="M29">
        <v>86.349138051271396</v>
      </c>
      <c r="N29">
        <v>1</v>
      </c>
      <c r="O29" t="s">
        <v>40</v>
      </c>
      <c r="P29" t="b">
        <v>1</v>
      </c>
      <c r="Q29">
        <v>250</v>
      </c>
      <c r="R29">
        <v>728.85190310575501</v>
      </c>
      <c r="S29">
        <v>73.542296193788502</v>
      </c>
      <c r="T29">
        <v>150</v>
      </c>
      <c r="U29">
        <v>3</v>
      </c>
      <c r="V29">
        <v>44.316000000000003</v>
      </c>
      <c r="W29">
        <v>-72.7423</v>
      </c>
      <c r="X29">
        <v>700</v>
      </c>
      <c r="Y29" t="s">
        <v>41</v>
      </c>
      <c r="Z29">
        <v>1</v>
      </c>
      <c r="AA29">
        <v>0.205803125931106</v>
      </c>
      <c r="AB29" t="b">
        <v>1</v>
      </c>
      <c r="AC29">
        <v>185</v>
      </c>
    </row>
    <row r="30" spans="1:29" x14ac:dyDescent="0.25">
      <c r="A30">
        <v>61</v>
      </c>
      <c r="B30">
        <v>23.725740104913701</v>
      </c>
      <c r="C30">
        <v>43.222428350859602</v>
      </c>
      <c r="D30" t="s">
        <v>39</v>
      </c>
      <c r="E30" t="b">
        <v>0</v>
      </c>
      <c r="F30">
        <v>2</v>
      </c>
      <c r="G30" t="b">
        <v>0</v>
      </c>
      <c r="M30">
        <v>86.592120751738506</v>
      </c>
      <c r="N30">
        <v>1</v>
      </c>
      <c r="O30" t="s">
        <v>40</v>
      </c>
      <c r="P30" t="b">
        <v>1</v>
      </c>
      <c r="Q30">
        <v>250</v>
      </c>
      <c r="R30">
        <v>767.52879879757904</v>
      </c>
      <c r="S30">
        <v>73.464942402404802</v>
      </c>
      <c r="T30">
        <v>150</v>
      </c>
      <c r="U30">
        <v>3</v>
      </c>
      <c r="V30">
        <v>44.316000000000003</v>
      </c>
      <c r="W30">
        <v>-72.7423</v>
      </c>
      <c r="X30">
        <v>700</v>
      </c>
      <c r="Y30" t="s">
        <v>41</v>
      </c>
      <c r="Z30">
        <v>1</v>
      </c>
      <c r="AA30">
        <v>0.19543240623021799</v>
      </c>
      <c r="AB30" t="b">
        <v>1</v>
      </c>
      <c r="AC30">
        <v>190</v>
      </c>
    </row>
    <row r="31" spans="1:29" x14ac:dyDescent="0.25">
      <c r="A31">
        <v>61</v>
      </c>
      <c r="B31">
        <v>24.3312542140484</v>
      </c>
      <c r="C31">
        <v>43.381303818692402</v>
      </c>
      <c r="D31" t="s">
        <v>39</v>
      </c>
      <c r="E31" t="b">
        <v>0</v>
      </c>
      <c r="F31">
        <v>2</v>
      </c>
      <c r="G31" t="b">
        <v>0</v>
      </c>
      <c r="M31">
        <v>86.835103452205701</v>
      </c>
      <c r="N31">
        <v>1</v>
      </c>
      <c r="O31" t="s">
        <v>40</v>
      </c>
      <c r="P31" t="b">
        <v>1</v>
      </c>
      <c r="Q31">
        <v>250</v>
      </c>
      <c r="R31">
        <v>807.205541775661</v>
      </c>
      <c r="S31">
        <v>73.385588916448697</v>
      </c>
      <c r="T31">
        <v>150</v>
      </c>
      <c r="U31">
        <v>3</v>
      </c>
      <c r="V31">
        <v>44.316000000000003</v>
      </c>
      <c r="W31">
        <v>-72.7423</v>
      </c>
      <c r="X31">
        <v>700</v>
      </c>
      <c r="Y31" t="s">
        <v>41</v>
      </c>
      <c r="Z31">
        <v>1</v>
      </c>
      <c r="AA31">
        <v>0.18582627625429299</v>
      </c>
      <c r="AB31" t="b">
        <v>1</v>
      </c>
      <c r="AC31">
        <v>195</v>
      </c>
    </row>
    <row r="32" spans="1:29" x14ac:dyDescent="0.25">
      <c r="A32">
        <v>61</v>
      </c>
      <c r="B32">
        <v>24.936768323183099</v>
      </c>
      <c r="C32">
        <v>43.5392926342818</v>
      </c>
      <c r="D32" t="s">
        <v>39</v>
      </c>
      <c r="E32" t="b">
        <v>0</v>
      </c>
      <c r="F32">
        <v>2</v>
      </c>
      <c r="G32" t="b">
        <v>0</v>
      </c>
      <c r="M32">
        <v>87.078086152672796</v>
      </c>
      <c r="N32">
        <v>1</v>
      </c>
      <c r="O32" t="s">
        <v>40</v>
      </c>
      <c r="P32" t="b">
        <v>1</v>
      </c>
      <c r="Q32">
        <v>250</v>
      </c>
      <c r="R32">
        <v>847.88213203999896</v>
      </c>
      <c r="S32">
        <v>73.304235735920003</v>
      </c>
      <c r="T32">
        <v>150</v>
      </c>
      <c r="U32">
        <v>3</v>
      </c>
      <c r="V32">
        <v>44.316000000000003</v>
      </c>
      <c r="W32">
        <v>-72.7423</v>
      </c>
      <c r="X32">
        <v>700</v>
      </c>
      <c r="Y32" t="s">
        <v>41</v>
      </c>
      <c r="Z32">
        <v>1</v>
      </c>
      <c r="AA32">
        <v>0.17691138229213699</v>
      </c>
      <c r="AB32" t="b">
        <v>1</v>
      </c>
      <c r="AC32">
        <v>200</v>
      </c>
    </row>
    <row r="33" spans="1:29" x14ac:dyDescent="0.25">
      <c r="A33">
        <v>61</v>
      </c>
      <c r="B33">
        <v>25.492717474698999</v>
      </c>
      <c r="C33">
        <v>43.602754158255401</v>
      </c>
      <c r="D33" t="s">
        <v>39</v>
      </c>
      <c r="E33" t="b">
        <v>0</v>
      </c>
      <c r="F33">
        <v>2</v>
      </c>
      <c r="G33" t="b">
        <v>0</v>
      </c>
      <c r="M33">
        <v>87.176071576774106</v>
      </c>
      <c r="N33">
        <v>1</v>
      </c>
      <c r="O33" t="s">
        <v>40</v>
      </c>
      <c r="P33" t="b">
        <v>1</v>
      </c>
      <c r="Q33">
        <v>250</v>
      </c>
      <c r="R33">
        <v>886.10953142781898</v>
      </c>
      <c r="S33">
        <v>73.227780937144402</v>
      </c>
      <c r="T33">
        <v>150</v>
      </c>
      <c r="U33">
        <v>3</v>
      </c>
      <c r="V33">
        <v>44.316000000000003</v>
      </c>
      <c r="W33">
        <v>-72.7423</v>
      </c>
      <c r="X33">
        <v>700</v>
      </c>
      <c r="Y33" t="s">
        <v>41</v>
      </c>
      <c r="Z33">
        <v>1</v>
      </c>
      <c r="AA33">
        <v>0.169279298641896</v>
      </c>
      <c r="AB33" t="b">
        <v>1</v>
      </c>
      <c r="AC33">
        <v>205</v>
      </c>
    </row>
    <row r="34" spans="1:29" x14ac:dyDescent="0.25">
      <c r="A34">
        <v>61</v>
      </c>
      <c r="B34">
        <v>26.048666626214999</v>
      </c>
      <c r="C34">
        <v>43.666073181592402</v>
      </c>
      <c r="D34" t="s">
        <v>39</v>
      </c>
      <c r="E34" t="b">
        <v>0</v>
      </c>
      <c r="F34">
        <v>2</v>
      </c>
      <c r="G34" t="b">
        <v>0</v>
      </c>
      <c r="M34">
        <v>87.274057000875501</v>
      </c>
      <c r="N34">
        <v>1</v>
      </c>
      <c r="O34" t="s">
        <v>40</v>
      </c>
      <c r="P34" t="b">
        <v>1</v>
      </c>
      <c r="Q34">
        <v>250</v>
      </c>
      <c r="R34">
        <v>925.179790500526</v>
      </c>
      <c r="S34">
        <v>73.149640418998899</v>
      </c>
      <c r="T34">
        <v>150</v>
      </c>
      <c r="U34">
        <v>3</v>
      </c>
      <c r="V34">
        <v>44.316000000000003</v>
      </c>
      <c r="W34">
        <v>-72.7423</v>
      </c>
      <c r="X34">
        <v>700</v>
      </c>
      <c r="Y34" t="s">
        <v>41</v>
      </c>
      <c r="Z34">
        <v>1</v>
      </c>
      <c r="AA34">
        <v>0.16213064913453101</v>
      </c>
      <c r="AB34" t="b">
        <v>1</v>
      </c>
      <c r="AC34">
        <v>210</v>
      </c>
    </row>
    <row r="35" spans="1:29" x14ac:dyDescent="0.25">
      <c r="A35">
        <v>61</v>
      </c>
      <c r="B35">
        <v>26.604615777730899</v>
      </c>
      <c r="C35">
        <v>43.729250183724801</v>
      </c>
      <c r="D35" t="s">
        <v>39</v>
      </c>
      <c r="E35" t="b">
        <v>0</v>
      </c>
      <c r="F35">
        <v>2</v>
      </c>
      <c r="G35" t="b">
        <v>0</v>
      </c>
      <c r="M35">
        <v>87.372042424976797</v>
      </c>
      <c r="N35">
        <v>1</v>
      </c>
      <c r="O35" t="s">
        <v>40</v>
      </c>
      <c r="P35" t="b">
        <v>1</v>
      </c>
      <c r="Q35">
        <v>250</v>
      </c>
      <c r="R35">
        <v>965.09290925812104</v>
      </c>
      <c r="S35">
        <v>73.069814181483807</v>
      </c>
      <c r="T35">
        <v>150</v>
      </c>
      <c r="U35">
        <v>3</v>
      </c>
      <c r="V35">
        <v>44.316000000000003</v>
      </c>
      <c r="W35">
        <v>-72.7423</v>
      </c>
      <c r="X35">
        <v>700</v>
      </c>
      <c r="Y35" t="s">
        <v>41</v>
      </c>
      <c r="Z35">
        <v>1</v>
      </c>
      <c r="AA35">
        <v>0.15542545029711899</v>
      </c>
      <c r="AB35" t="b">
        <v>1</v>
      </c>
      <c r="AC35">
        <v>215</v>
      </c>
    </row>
    <row r="36" spans="1:29" x14ac:dyDescent="0.25">
      <c r="A36">
        <v>61</v>
      </c>
      <c r="B36">
        <v>27.160564929246899</v>
      </c>
      <c r="C36">
        <v>43.792285641936502</v>
      </c>
      <c r="D36" t="s">
        <v>39</v>
      </c>
      <c r="E36" t="b">
        <v>0</v>
      </c>
      <c r="F36">
        <v>2</v>
      </c>
      <c r="G36" t="b">
        <v>0</v>
      </c>
      <c r="M36">
        <v>87.470027849078207</v>
      </c>
      <c r="N36">
        <v>1</v>
      </c>
      <c r="O36" t="s">
        <v>40</v>
      </c>
      <c r="P36" t="b">
        <v>1</v>
      </c>
      <c r="Q36">
        <v>250</v>
      </c>
      <c r="R36">
        <v>1005.8488877006</v>
      </c>
      <c r="S36">
        <v>72.988302224598797</v>
      </c>
      <c r="T36">
        <v>150</v>
      </c>
      <c r="U36">
        <v>3</v>
      </c>
      <c r="V36">
        <v>44.316000000000003</v>
      </c>
      <c r="W36">
        <v>-72.7423</v>
      </c>
      <c r="X36">
        <v>700</v>
      </c>
      <c r="Y36" t="s">
        <v>41</v>
      </c>
      <c r="Z36">
        <v>1</v>
      </c>
      <c r="AA36">
        <v>0.149127768429415</v>
      </c>
      <c r="AB36" t="b">
        <v>1</v>
      </c>
      <c r="AC36">
        <v>220</v>
      </c>
    </row>
    <row r="37" spans="1:29" x14ac:dyDescent="0.25">
      <c r="A37">
        <v>61</v>
      </c>
      <c r="B37">
        <v>27.716514080762899</v>
      </c>
      <c r="C37">
        <v>43.8551800313748</v>
      </c>
      <c r="D37" t="s">
        <v>39</v>
      </c>
      <c r="E37" t="b">
        <v>0</v>
      </c>
      <c r="F37">
        <v>2</v>
      </c>
      <c r="G37" t="b">
        <v>0</v>
      </c>
      <c r="M37">
        <v>87.568013273179503</v>
      </c>
      <c r="N37">
        <v>1</v>
      </c>
      <c r="O37" t="s">
        <v>40</v>
      </c>
      <c r="P37" t="b">
        <v>1</v>
      </c>
      <c r="Q37">
        <v>250</v>
      </c>
      <c r="R37">
        <v>1047.4477258279701</v>
      </c>
      <c r="S37">
        <v>72.905104548344099</v>
      </c>
      <c r="T37">
        <v>150</v>
      </c>
      <c r="U37">
        <v>3</v>
      </c>
      <c r="V37">
        <v>44.316000000000003</v>
      </c>
      <c r="W37">
        <v>-72.7423</v>
      </c>
      <c r="X37">
        <v>700</v>
      </c>
      <c r="Y37" t="s">
        <v>41</v>
      </c>
      <c r="Z37">
        <v>1</v>
      </c>
      <c r="AA37">
        <v>0.14320523716964501</v>
      </c>
      <c r="AB37" t="b">
        <v>1</v>
      </c>
      <c r="AC37">
        <v>225</v>
      </c>
    </row>
    <row r="38" spans="1:29" x14ac:dyDescent="0.25">
      <c r="A38">
        <v>61</v>
      </c>
      <c r="B38">
        <v>28.272463232278799</v>
      </c>
      <c r="C38">
        <v>43.917933825063002</v>
      </c>
      <c r="D38" t="s">
        <v>39</v>
      </c>
      <c r="E38" t="b">
        <v>0</v>
      </c>
      <c r="F38">
        <v>2</v>
      </c>
      <c r="G38" t="b">
        <v>0</v>
      </c>
      <c r="M38">
        <v>87.665998697280898</v>
      </c>
      <c r="N38">
        <v>1</v>
      </c>
      <c r="O38" t="s">
        <v>40</v>
      </c>
      <c r="P38" t="b">
        <v>1</v>
      </c>
      <c r="Q38">
        <v>250</v>
      </c>
      <c r="R38">
        <v>1089.88942364023</v>
      </c>
      <c r="S38">
        <v>72.794788695430199</v>
      </c>
      <c r="T38">
        <v>149.94913508542101</v>
      </c>
      <c r="U38">
        <v>3</v>
      </c>
      <c r="V38">
        <v>44.316000000000003</v>
      </c>
      <c r="W38">
        <v>-72.7423</v>
      </c>
      <c r="X38">
        <v>700</v>
      </c>
      <c r="Y38" t="s">
        <v>41</v>
      </c>
      <c r="Z38">
        <v>1</v>
      </c>
      <c r="AA38">
        <v>0.13758197100820699</v>
      </c>
      <c r="AB38" t="b">
        <v>1</v>
      </c>
      <c r="AC38">
        <v>230</v>
      </c>
    </row>
    <row r="39" spans="1:29" x14ac:dyDescent="0.25">
      <c r="A39">
        <v>61</v>
      </c>
      <c r="B39">
        <v>28.828412383794799</v>
      </c>
      <c r="C39">
        <v>43.9805474939118</v>
      </c>
      <c r="D39" t="s">
        <v>39</v>
      </c>
      <c r="E39" t="b">
        <v>0</v>
      </c>
      <c r="F39">
        <v>2</v>
      </c>
      <c r="G39" t="b">
        <v>0</v>
      </c>
      <c r="M39">
        <v>87.763984121382194</v>
      </c>
      <c r="N39">
        <v>1</v>
      </c>
      <c r="O39" t="s">
        <v>40</v>
      </c>
      <c r="P39" t="b">
        <v>1</v>
      </c>
      <c r="Q39">
        <v>250</v>
      </c>
      <c r="R39">
        <v>1133.17398113738</v>
      </c>
      <c r="S39">
        <v>72.6248454663328</v>
      </c>
      <c r="T39">
        <v>149.78238685721499</v>
      </c>
      <c r="U39">
        <v>3</v>
      </c>
      <c r="V39">
        <v>44.316000000000003</v>
      </c>
      <c r="W39">
        <v>-72.7423</v>
      </c>
      <c r="X39">
        <v>700</v>
      </c>
      <c r="Y39" t="s">
        <v>41</v>
      </c>
      <c r="Z39">
        <v>1</v>
      </c>
      <c r="AA39">
        <v>0.13217951466453301</v>
      </c>
      <c r="AB39" t="b">
        <v>1</v>
      </c>
      <c r="AC39">
        <v>235</v>
      </c>
    </row>
    <row r="40" spans="1:29" x14ac:dyDescent="0.25">
      <c r="A40">
        <v>61</v>
      </c>
      <c r="B40">
        <v>29.384361535310699</v>
      </c>
      <c r="C40">
        <v>44.0430215067313</v>
      </c>
      <c r="D40" t="s">
        <v>39</v>
      </c>
      <c r="E40" t="b">
        <v>0</v>
      </c>
      <c r="F40">
        <v>2</v>
      </c>
      <c r="G40" t="b">
        <v>0</v>
      </c>
      <c r="M40">
        <v>87.861969545483603</v>
      </c>
      <c r="N40">
        <v>1</v>
      </c>
      <c r="O40" t="s">
        <v>40</v>
      </c>
      <c r="P40" t="b">
        <v>1</v>
      </c>
      <c r="Q40">
        <v>250</v>
      </c>
      <c r="R40">
        <v>1177.3013983194101</v>
      </c>
      <c r="S40">
        <v>72.397677132340803</v>
      </c>
      <c r="T40">
        <v>149.50455985795901</v>
      </c>
      <c r="U40">
        <v>3</v>
      </c>
      <c r="V40">
        <v>44.316000000000003</v>
      </c>
      <c r="W40">
        <v>-72.7423</v>
      </c>
      <c r="X40">
        <v>700</v>
      </c>
      <c r="Y40" t="s">
        <v>41</v>
      </c>
      <c r="Z40">
        <v>1</v>
      </c>
      <c r="AA40">
        <v>0.12698919755924501</v>
      </c>
      <c r="AB40" t="b">
        <v>1</v>
      </c>
      <c r="AC40">
        <v>240</v>
      </c>
    </row>
    <row r="41" spans="1:29" x14ac:dyDescent="0.25">
      <c r="A41">
        <v>61</v>
      </c>
      <c r="B41">
        <v>29.942664593458201</v>
      </c>
      <c r="C41">
        <v>44.024043389367201</v>
      </c>
      <c r="D41" t="s">
        <v>39</v>
      </c>
      <c r="E41" t="b">
        <v>0</v>
      </c>
      <c r="F41">
        <v>2</v>
      </c>
      <c r="G41" t="b">
        <v>0</v>
      </c>
      <c r="M41">
        <v>87.876592736691194</v>
      </c>
      <c r="N41">
        <v>1</v>
      </c>
      <c r="O41" t="s">
        <v>40</v>
      </c>
      <c r="P41" t="b">
        <v>1</v>
      </c>
      <c r="Q41">
        <v>250</v>
      </c>
      <c r="R41">
        <v>1222.46387269096</v>
      </c>
      <c r="S41">
        <v>72.127012447294405</v>
      </c>
      <c r="T41">
        <v>149.14388038535299</v>
      </c>
      <c r="U41">
        <v>3</v>
      </c>
      <c r="V41">
        <v>44.316000000000003</v>
      </c>
      <c r="W41">
        <v>-72.7423</v>
      </c>
      <c r="X41">
        <v>700</v>
      </c>
      <c r="Y41" t="s">
        <v>41</v>
      </c>
      <c r="Z41">
        <v>1</v>
      </c>
      <c r="AA41">
        <v>0.12200268958218601</v>
      </c>
      <c r="AB41" t="b">
        <v>1</v>
      </c>
      <c r="AC41">
        <v>245</v>
      </c>
    </row>
    <row r="42" spans="1:29" x14ac:dyDescent="0.25">
      <c r="A42">
        <v>61</v>
      </c>
      <c r="B42">
        <v>30.500967651605599</v>
      </c>
      <c r="C42">
        <v>44.0050715870969</v>
      </c>
      <c r="D42" t="s">
        <v>39</v>
      </c>
      <c r="E42" t="b">
        <v>0</v>
      </c>
      <c r="F42">
        <v>2</v>
      </c>
      <c r="G42" t="b">
        <v>0</v>
      </c>
      <c r="M42">
        <v>87.891215927898898</v>
      </c>
      <c r="N42">
        <v>1</v>
      </c>
      <c r="O42" t="s">
        <v>40</v>
      </c>
      <c r="P42" t="b">
        <v>1</v>
      </c>
      <c r="Q42">
        <v>250</v>
      </c>
      <c r="R42">
        <v>1268.4763592475299</v>
      </c>
      <c r="S42">
        <v>71.798540713242602</v>
      </c>
      <c r="T42">
        <v>148.67098686347501</v>
      </c>
      <c r="U42">
        <v>3</v>
      </c>
      <c r="V42">
        <v>44.316000000000003</v>
      </c>
      <c r="W42">
        <v>-72.7423</v>
      </c>
      <c r="X42">
        <v>700</v>
      </c>
      <c r="Y42" t="s">
        <v>41</v>
      </c>
      <c r="Z42">
        <v>1</v>
      </c>
      <c r="AA42">
        <v>0.117204381287538</v>
      </c>
      <c r="AB42" t="b">
        <v>1</v>
      </c>
      <c r="AC42">
        <v>250</v>
      </c>
    </row>
    <row r="43" spans="1:29" x14ac:dyDescent="0.25">
      <c r="A43">
        <v>61</v>
      </c>
      <c r="B43">
        <v>31.059270709753001</v>
      </c>
      <c r="C43">
        <v>43.9861060967689</v>
      </c>
      <c r="D43" t="s">
        <v>39</v>
      </c>
      <c r="E43" t="b">
        <v>0</v>
      </c>
      <c r="F43">
        <v>2</v>
      </c>
      <c r="G43" t="b">
        <v>0</v>
      </c>
      <c r="M43">
        <v>87.905839119106503</v>
      </c>
      <c r="N43">
        <v>1</v>
      </c>
      <c r="O43" t="s">
        <v>40</v>
      </c>
      <c r="P43" t="b">
        <v>1</v>
      </c>
      <c r="Q43">
        <v>250</v>
      </c>
      <c r="R43">
        <v>1315.33885798912</v>
      </c>
      <c r="S43">
        <v>71.419472345435096</v>
      </c>
      <c r="T43">
        <v>148.10030012282701</v>
      </c>
      <c r="U43">
        <v>3</v>
      </c>
      <c r="V43">
        <v>44.316000000000003</v>
      </c>
      <c r="W43">
        <v>-72.7423</v>
      </c>
      <c r="X43">
        <v>700</v>
      </c>
      <c r="Y43" t="s">
        <v>41</v>
      </c>
      <c r="Z43">
        <v>1</v>
      </c>
      <c r="AA43">
        <v>0.112594788197196</v>
      </c>
      <c r="AB43" t="b">
        <v>1</v>
      </c>
      <c r="AC43">
        <v>255</v>
      </c>
    </row>
    <row r="44" spans="1:29" x14ac:dyDescent="0.25">
      <c r="A44">
        <v>61</v>
      </c>
      <c r="B44">
        <v>31.617573767900499</v>
      </c>
      <c r="C44">
        <v>44.048473217495399</v>
      </c>
      <c r="D44" t="s">
        <v>39</v>
      </c>
      <c r="E44" t="b">
        <v>0</v>
      </c>
      <c r="F44">
        <v>2</v>
      </c>
      <c r="G44" t="b">
        <v>0</v>
      </c>
      <c r="M44">
        <v>88.003824543207898</v>
      </c>
      <c r="N44">
        <v>1</v>
      </c>
      <c r="O44" t="s">
        <v>40</v>
      </c>
      <c r="P44" t="b">
        <v>1</v>
      </c>
      <c r="Q44">
        <v>250</v>
      </c>
      <c r="R44">
        <v>1363.0513689157201</v>
      </c>
      <c r="S44">
        <v>70.992137189270196</v>
      </c>
      <c r="T44">
        <v>147.43647985420299</v>
      </c>
      <c r="U44">
        <v>3</v>
      </c>
      <c r="V44">
        <v>44.316000000000003</v>
      </c>
      <c r="W44">
        <v>-72.7423</v>
      </c>
      <c r="X44">
        <v>700</v>
      </c>
      <c r="Y44" t="s">
        <v>41</v>
      </c>
      <c r="Z44">
        <v>1</v>
      </c>
      <c r="AA44">
        <v>0.10816648823109699</v>
      </c>
      <c r="AB44" t="b">
        <v>1</v>
      </c>
      <c r="AC44">
        <v>260</v>
      </c>
    </row>
    <row r="45" spans="1:29" x14ac:dyDescent="0.25">
      <c r="A45">
        <v>61</v>
      </c>
      <c r="B45">
        <v>32.175632327795</v>
      </c>
      <c r="C45">
        <v>44.020224423771602</v>
      </c>
      <c r="D45" t="s">
        <v>39</v>
      </c>
      <c r="E45" t="b">
        <v>0</v>
      </c>
      <c r="F45">
        <v>2</v>
      </c>
      <c r="G45" t="b">
        <v>0</v>
      </c>
      <c r="M45">
        <v>87.819665696471901</v>
      </c>
      <c r="N45">
        <v>1</v>
      </c>
      <c r="O45" t="s">
        <v>40</v>
      </c>
      <c r="P45" t="b">
        <v>1</v>
      </c>
      <c r="Q45">
        <v>250</v>
      </c>
      <c r="R45">
        <v>1411.5924389480199</v>
      </c>
      <c r="S45">
        <v>70.5143651484521</v>
      </c>
      <c r="T45">
        <v>146.675100052696</v>
      </c>
      <c r="U45">
        <v>3</v>
      </c>
      <c r="V45">
        <v>44.316000000000003</v>
      </c>
      <c r="W45">
        <v>-72.7423</v>
      </c>
      <c r="X45">
        <v>700</v>
      </c>
      <c r="Y45" t="s">
        <v>41</v>
      </c>
      <c r="Z45">
        <v>1</v>
      </c>
      <c r="AA45">
        <v>0.103907541586157</v>
      </c>
      <c r="AB45" t="b">
        <v>1</v>
      </c>
      <c r="AC45">
        <v>265</v>
      </c>
    </row>
    <row r="46" spans="1:29" x14ac:dyDescent="0.25">
      <c r="A46">
        <v>61</v>
      </c>
      <c r="B46">
        <v>32.7366423904896</v>
      </c>
      <c r="C46">
        <v>44.023958879508001</v>
      </c>
      <c r="D46" t="s">
        <v>39</v>
      </c>
      <c r="E46" t="b">
        <v>0</v>
      </c>
      <c r="F46">
        <v>2</v>
      </c>
      <c r="G46" t="b">
        <v>0</v>
      </c>
      <c r="M46">
        <v>87.825524607673302</v>
      </c>
      <c r="N46">
        <v>1</v>
      </c>
      <c r="O46" t="s">
        <v>40</v>
      </c>
      <c r="P46" t="b">
        <v>1</v>
      </c>
      <c r="Q46">
        <v>250</v>
      </c>
      <c r="R46">
        <v>1461.2462539463199</v>
      </c>
      <c r="S46">
        <v>70.005594989334597</v>
      </c>
      <c r="T46">
        <v>145.85617499445399</v>
      </c>
      <c r="U46">
        <v>3</v>
      </c>
      <c r="V46">
        <v>44.316000000000003</v>
      </c>
      <c r="W46">
        <v>-72.7423</v>
      </c>
      <c r="X46">
        <v>700</v>
      </c>
      <c r="Y46" t="s">
        <v>41</v>
      </c>
      <c r="Z46">
        <v>1</v>
      </c>
      <c r="AA46">
        <v>9.9816286680323496E-2</v>
      </c>
      <c r="AB46" t="b">
        <v>1</v>
      </c>
      <c r="AC46">
        <v>270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defaultColWidth="11.42578125" defaultRowHeight="15" x14ac:dyDescent="0.25"/>
  <sheetData>
    <row r="1" spans="1:2" x14ac:dyDescent="0.25">
      <c r="A1" t="s">
        <v>3</v>
      </c>
      <c r="B1" t="s">
        <v>42</v>
      </c>
    </row>
    <row r="2" spans="1:2" x14ac:dyDescent="0.25">
      <c r="A2">
        <v>50</v>
      </c>
      <c r="B2">
        <v>0</v>
      </c>
    </row>
    <row r="3" spans="1:2" x14ac:dyDescent="0.25">
      <c r="A3">
        <v>65</v>
      </c>
      <c r="B3">
        <v>0</v>
      </c>
    </row>
    <row r="4" spans="1:2" x14ac:dyDescent="0.25">
      <c r="A4">
        <v>80</v>
      </c>
      <c r="B4">
        <v>0</v>
      </c>
    </row>
    <row r="5" spans="1:2" x14ac:dyDescent="0.25">
      <c r="A5">
        <v>95</v>
      </c>
      <c r="B5">
        <v>0</v>
      </c>
    </row>
    <row r="6" spans="1:2" x14ac:dyDescent="0.25">
      <c r="A6">
        <v>110</v>
      </c>
      <c r="B6">
        <v>0</v>
      </c>
    </row>
    <row r="7" spans="1:2" x14ac:dyDescent="0.25">
      <c r="A7">
        <v>125</v>
      </c>
      <c r="B7">
        <v>0</v>
      </c>
    </row>
    <row r="8" spans="1:2" x14ac:dyDescent="0.25">
      <c r="A8">
        <v>140</v>
      </c>
      <c r="B8">
        <v>0</v>
      </c>
    </row>
    <row r="9" spans="1:2" x14ac:dyDescent="0.25">
      <c r="A9">
        <v>155</v>
      </c>
      <c r="B9">
        <v>0</v>
      </c>
    </row>
    <row r="10" spans="1:2" x14ac:dyDescent="0.25">
      <c r="A10">
        <v>170</v>
      </c>
      <c r="B10">
        <v>0</v>
      </c>
    </row>
    <row r="11" spans="1:2" x14ac:dyDescent="0.25">
      <c r="A11">
        <v>185</v>
      </c>
      <c r="B11">
        <v>0</v>
      </c>
    </row>
    <row r="12" spans="1:2" x14ac:dyDescent="0.25">
      <c r="A12">
        <v>200</v>
      </c>
      <c r="B12">
        <v>0</v>
      </c>
    </row>
    <row r="13" spans="1:2" x14ac:dyDescent="0.25">
      <c r="A13">
        <v>215</v>
      </c>
      <c r="B13">
        <v>0</v>
      </c>
    </row>
    <row r="14" spans="1:2" x14ac:dyDescent="0.25">
      <c r="A14">
        <v>230</v>
      </c>
      <c r="B14">
        <v>0</v>
      </c>
    </row>
    <row r="15" spans="1:2" x14ac:dyDescent="0.25">
      <c r="A15">
        <v>245</v>
      </c>
      <c r="B15">
        <v>0</v>
      </c>
    </row>
    <row r="16" spans="1:2" x14ac:dyDescent="0.25">
      <c r="A16">
        <v>260</v>
      </c>
      <c r="B16">
        <v>0</v>
      </c>
    </row>
    <row r="17" spans="1:2" x14ac:dyDescent="0.25">
      <c r="A17">
        <v>275</v>
      </c>
      <c r="B1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yields</vt:lpstr>
      <vt:lpstr>trees</vt:lpstr>
      <vt:lpstr>pct_cut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</dc:creator>
  <cp:lastModifiedBy>John Foppert</cp:lastModifiedBy>
  <dcterms:created xsi:type="dcterms:W3CDTF">2025-10-22T19:12:34Z</dcterms:created>
  <dcterms:modified xsi:type="dcterms:W3CDTF">2025-10-22T19:47:54Z</dcterms:modified>
</cp:coreProperties>
</file>