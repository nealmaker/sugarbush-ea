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eal\projects\sugarbush-ea\output\"/>
    </mc:Choice>
  </mc:AlternateContent>
  <xr:revisionPtr revIDLastSave="0" documentId="13_ncr:1_{7DABA4A8-84DE-48A1-B7B9-7602097C52E1}" xr6:coauthVersionLast="47" xr6:coauthVersionMax="47" xr10:uidLastSave="{00000000-0000-0000-0000-000000000000}"/>
  <bookViews>
    <workbookView xWindow="-19545" yWindow="-570" windowWidth="19275" windowHeight="19110" activeTab="1" xr2:uid="{00000000-000D-0000-FFFF-FFFF00000000}"/>
  </bookViews>
  <sheets>
    <sheet name="summary" sheetId="1" r:id="rId1"/>
    <sheet name="yields" sheetId="2" r:id="rId2"/>
    <sheet name="trees" sheetId="3" r:id="rId3"/>
    <sheet name="pct_cu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2" i="2"/>
</calcChain>
</file>

<file path=xl/sharedStrings.xml><?xml version="1.0" encoding="utf-8"?>
<sst xmlns="http://schemas.openxmlformats.org/spreadsheetml/2006/main" count="182" uniqueCount="46">
  <si>
    <t>rotation_length</t>
  </si>
  <si>
    <t>avg_maple_income_peryr_over_rotation</t>
  </si>
  <si>
    <t>avg_timber_income_peryr_over_rotation</t>
  </si>
  <si>
    <t>stand_age</t>
  </si>
  <si>
    <t>sap_yield_per_ac</t>
  </si>
  <si>
    <t>sugar_content</t>
  </si>
  <si>
    <t>syrup_yield_per_ac</t>
  </si>
  <si>
    <t>gross_maple_revenue_per_ac</t>
  </si>
  <si>
    <t>collection_costs_per_ac</t>
  </si>
  <si>
    <t>net_maple_revenue_per_ac</t>
  </si>
  <si>
    <t>timber_income_per_ac</t>
  </si>
  <si>
    <t>spp</t>
  </si>
  <si>
    <t>dbh</t>
  </si>
  <si>
    <t>cr</t>
  </si>
  <si>
    <t>plot_uui</t>
  </si>
  <si>
    <t>ugs</t>
  </si>
  <si>
    <t>vigor</t>
  </si>
  <si>
    <t>cut</t>
  </si>
  <si>
    <t>cavity</t>
  </si>
  <si>
    <t>merch_ht</t>
  </si>
  <si>
    <t>grade1</t>
  </si>
  <si>
    <t>grade2</t>
  </si>
  <si>
    <t>grade3</t>
  </si>
  <si>
    <t>height</t>
  </si>
  <si>
    <t>plot</t>
  </si>
  <si>
    <t>stand</t>
  </si>
  <si>
    <t>live</t>
  </si>
  <si>
    <t>tpa</t>
  </si>
  <si>
    <t>ba_ac</t>
  </si>
  <si>
    <t>bal</t>
  </si>
  <si>
    <t>ba</t>
  </si>
  <si>
    <t>site_class</t>
  </si>
  <si>
    <t>lat</t>
  </si>
  <si>
    <t>lon</t>
  </si>
  <si>
    <t>elev</t>
  </si>
  <si>
    <t>logs</t>
  </si>
  <si>
    <t>tree</t>
  </si>
  <si>
    <t>cumsurv</t>
  </si>
  <si>
    <t>sustainable</t>
  </si>
  <si>
    <t>{68fef0b1-9adf-4d36-b7d7-f2ffda157743}</t>
  </si>
  <si>
    <t>1</t>
  </si>
  <si>
    <t>3225555555</t>
  </si>
  <si>
    <t>pct_cut</t>
  </si>
  <si>
    <t>productive_trees</t>
  </si>
  <si>
    <t>net_revenue_per_tree</t>
  </si>
  <si>
    <t>syrup_yield_per_tree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</si>
</sst>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ColWidth="11.425781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275</v>
      </c>
      <c r="B2">
        <v>645.76957140817899</v>
      </c>
      <c r="C2">
        <v>0</v>
      </c>
    </row>
    <row r="8" spans="1:3" ht="13.5" customHeight="1" x14ac:dyDescent="0.25"/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7"/>
  <sheetViews>
    <sheetView tabSelected="1" workbookViewId="0">
      <selection activeCell="M32" sqref="M32"/>
    </sheetView>
  </sheetViews>
  <sheetFormatPr defaultColWidth="11.42578125" defaultRowHeight="15" x14ac:dyDescent="0.25"/>
  <sheetData>
    <row r="1" spans="1:13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27</v>
      </c>
      <c r="J1" t="s">
        <v>37</v>
      </c>
      <c r="K1" t="s">
        <v>43</v>
      </c>
      <c r="L1" t="s">
        <v>44</v>
      </c>
      <c r="M1" t="s">
        <v>45</v>
      </c>
    </row>
    <row r="2" spans="1:13" x14ac:dyDescent="0.25">
      <c r="A2">
        <v>50</v>
      </c>
      <c r="B2">
        <v>5675.1750000000002</v>
      </c>
      <c r="C2">
        <v>2.8231999999999999</v>
      </c>
      <c r="D2">
        <v>242.75990999999999</v>
      </c>
      <c r="E2">
        <v>7768.3171199999997</v>
      </c>
      <c r="F2">
        <v>6090.0914993091301</v>
      </c>
      <c r="G2">
        <v>1678.2256206908701</v>
      </c>
      <c r="H2">
        <v>0</v>
      </c>
      <c r="I2">
        <v>250</v>
      </c>
      <c r="J2">
        <v>1</v>
      </c>
      <c r="K2">
        <f>I2*J2</f>
        <v>250</v>
      </c>
      <c r="L2">
        <f>G2/K2</f>
        <v>6.7129024827634804</v>
      </c>
      <c r="M2">
        <f>D2/K2</f>
        <v>0.97103963999999998</v>
      </c>
    </row>
    <row r="3" spans="1:13" x14ac:dyDescent="0.25">
      <c r="A3">
        <v>55</v>
      </c>
      <c r="B3">
        <v>5728.5786386295304</v>
      </c>
      <c r="C3">
        <v>2.8344034956872499</v>
      </c>
      <c r="D3">
        <v>246.016716949255</v>
      </c>
      <c r="E3">
        <v>7872.53494237616</v>
      </c>
      <c r="F3">
        <v>5743.0547694914703</v>
      </c>
      <c r="G3">
        <v>2129.4801728846801</v>
      </c>
      <c r="H3">
        <v>0</v>
      </c>
      <c r="I3">
        <v>250</v>
      </c>
      <c r="J3">
        <v>0.94301617145538297</v>
      </c>
      <c r="K3">
        <f t="shared" ref="K3:K47" si="0">I3*J3</f>
        <v>235.75404286384574</v>
      </c>
      <c r="L3">
        <f t="shared" ref="L3:L47" si="1">G3/K3</f>
        <v>9.0326348045471772</v>
      </c>
      <c r="M3">
        <f t="shared" ref="M3:M47" si="2">D3/K3</f>
        <v>1.0435312750557419</v>
      </c>
    </row>
    <row r="4" spans="1:13" x14ac:dyDescent="0.25">
      <c r="A4">
        <v>60</v>
      </c>
      <c r="B4">
        <v>5900.0447885746398</v>
      </c>
      <c r="C4">
        <v>2.84746846402287</v>
      </c>
      <c r="D4">
        <v>254.54835563316399</v>
      </c>
      <c r="E4">
        <v>8145.5473802612396</v>
      </c>
      <c r="F4">
        <v>5493.5775872849299</v>
      </c>
      <c r="G4">
        <v>2651.9697929763202</v>
      </c>
      <c r="H4">
        <v>0</v>
      </c>
      <c r="I4">
        <v>250</v>
      </c>
      <c r="J4">
        <v>0.90205173237678304</v>
      </c>
      <c r="K4">
        <f t="shared" si="0"/>
        <v>225.51293309419577</v>
      </c>
      <c r="L4">
        <f t="shared" si="1"/>
        <v>11.759723739962196</v>
      </c>
      <c r="M4">
        <f t="shared" si="2"/>
        <v>1.1287528042874608</v>
      </c>
    </row>
    <row r="5" spans="1:13" x14ac:dyDescent="0.25">
      <c r="A5">
        <v>65</v>
      </c>
      <c r="B5">
        <v>3671.6574676302998</v>
      </c>
      <c r="C5">
        <v>2.86181519762874</v>
      </c>
      <c r="D5">
        <v>159.20613850532499</v>
      </c>
      <c r="E5">
        <v>5094.5964321703996</v>
      </c>
      <c r="F5">
        <v>3170.6725897927199</v>
      </c>
      <c r="G5">
        <v>1923.9238423776801</v>
      </c>
      <c r="H5">
        <v>0</v>
      </c>
      <c r="I5">
        <v>150</v>
      </c>
      <c r="J5">
        <v>0.86771345174709902</v>
      </c>
      <c r="K5">
        <f t="shared" si="0"/>
        <v>130.15701776206484</v>
      </c>
      <c r="L5">
        <f t="shared" si="1"/>
        <v>14.781560575509905</v>
      </c>
      <c r="M5">
        <f t="shared" si="2"/>
        <v>1.223185205398327</v>
      </c>
    </row>
    <row r="6" spans="1:13" x14ac:dyDescent="0.25">
      <c r="A6">
        <v>70</v>
      </c>
      <c r="B6">
        <v>3806.1387824449598</v>
      </c>
      <c r="C6">
        <v>2.8775645693957799</v>
      </c>
      <c r="D6">
        <v>165.94560767525499</v>
      </c>
      <c r="E6">
        <v>5310.2594456081497</v>
      </c>
      <c r="F6">
        <v>3044.3356609729399</v>
      </c>
      <c r="G6">
        <v>2265.9237846352198</v>
      </c>
      <c r="H6">
        <v>0</v>
      </c>
      <c r="I6">
        <v>150</v>
      </c>
      <c r="J6">
        <v>0.83313900437519195</v>
      </c>
      <c r="K6">
        <f t="shared" si="0"/>
        <v>124.9708506562788</v>
      </c>
      <c r="L6">
        <f t="shared" si="1"/>
        <v>18.131618475315026</v>
      </c>
      <c r="M6">
        <f t="shared" si="2"/>
        <v>1.3278745147672366</v>
      </c>
    </row>
    <row r="7" spans="1:13" x14ac:dyDescent="0.25">
      <c r="A7">
        <v>75</v>
      </c>
      <c r="B7">
        <v>3941.5440958262002</v>
      </c>
      <c r="C7">
        <v>2.8938098547518298</v>
      </c>
      <c r="D7">
        <v>172.819381021829</v>
      </c>
      <c r="E7">
        <v>5530.2201926985299</v>
      </c>
      <c r="F7">
        <v>2929.7084723469702</v>
      </c>
      <c r="G7">
        <v>2600.5117203515601</v>
      </c>
      <c r="H7">
        <v>0</v>
      </c>
      <c r="I7">
        <v>150</v>
      </c>
      <c r="J7">
        <v>0.80176914492426499</v>
      </c>
      <c r="K7">
        <f t="shared" si="0"/>
        <v>120.26537173863974</v>
      </c>
      <c r="L7">
        <f t="shared" si="1"/>
        <v>21.623112977216604</v>
      </c>
      <c r="M7">
        <f t="shared" si="2"/>
        <v>1.4369837179516598</v>
      </c>
    </row>
    <row r="8" spans="1:13" x14ac:dyDescent="0.25">
      <c r="A8">
        <v>80</v>
      </c>
      <c r="B8">
        <v>4063.0216314150098</v>
      </c>
      <c r="C8">
        <v>2.9098945015966899</v>
      </c>
      <c r="D8">
        <v>179.135822804893</v>
      </c>
      <c r="E8">
        <v>5732.3463297565804</v>
      </c>
      <c r="F8">
        <v>2822.3962933222501</v>
      </c>
      <c r="G8">
        <v>2909.9500364343198</v>
      </c>
      <c r="H8">
        <v>0</v>
      </c>
      <c r="I8">
        <v>150</v>
      </c>
      <c r="J8">
        <v>0.77240117373234596</v>
      </c>
      <c r="K8">
        <f t="shared" si="0"/>
        <v>115.8601760598519</v>
      </c>
      <c r="L8">
        <f t="shared" si="1"/>
        <v>25.116050530866417</v>
      </c>
      <c r="M8">
        <f t="shared" si="2"/>
        <v>1.5461380165032177</v>
      </c>
    </row>
    <row r="9" spans="1:13" x14ac:dyDescent="0.25">
      <c r="A9">
        <v>85</v>
      </c>
      <c r="B9">
        <v>4168.5996515157403</v>
      </c>
      <c r="C9">
        <v>2.9261849271237801</v>
      </c>
      <c r="D9">
        <v>184.81959799210301</v>
      </c>
      <c r="E9">
        <v>5914.2271357473001</v>
      </c>
      <c r="F9">
        <v>2715.76485262801</v>
      </c>
      <c r="G9">
        <v>3198.4622831193001</v>
      </c>
      <c r="H9">
        <v>0</v>
      </c>
      <c r="I9">
        <v>150</v>
      </c>
      <c r="J9">
        <v>0.74321949922976904</v>
      </c>
      <c r="K9">
        <f t="shared" si="0"/>
        <v>111.48292488446536</v>
      </c>
      <c r="L9">
        <f t="shared" si="1"/>
        <v>28.690153998327606</v>
      </c>
      <c r="M9">
        <f t="shared" si="2"/>
        <v>1.6578287498613771</v>
      </c>
    </row>
    <row r="10" spans="1:13" x14ac:dyDescent="0.25">
      <c r="A10">
        <v>90</v>
      </c>
      <c r="B10">
        <v>4254.9393658443196</v>
      </c>
      <c r="C10">
        <v>2.9422348846495199</v>
      </c>
      <c r="D10">
        <v>189.68228839781301</v>
      </c>
      <c r="E10">
        <v>6069.83322873001</v>
      </c>
      <c r="F10">
        <v>2612.0683886289999</v>
      </c>
      <c r="G10">
        <v>3457.7648401010101</v>
      </c>
      <c r="H10">
        <v>0</v>
      </c>
      <c r="I10">
        <v>150</v>
      </c>
      <c r="J10">
        <v>0.714841035619175</v>
      </c>
      <c r="K10">
        <f t="shared" si="0"/>
        <v>107.22615534287625</v>
      </c>
      <c r="L10">
        <f t="shared" si="1"/>
        <v>32.24740110324894</v>
      </c>
      <c r="M10">
        <f t="shared" si="2"/>
        <v>1.7689927218901713</v>
      </c>
    </row>
    <row r="11" spans="1:13" x14ac:dyDescent="0.25">
      <c r="A11">
        <v>95</v>
      </c>
      <c r="B11">
        <v>4322.6824846286499</v>
      </c>
      <c r="C11">
        <v>2.9580250151932201</v>
      </c>
      <c r="D11">
        <v>193.73640791316899</v>
      </c>
      <c r="E11">
        <v>6199.5650532214004</v>
      </c>
      <c r="F11">
        <v>2511.1098277562301</v>
      </c>
      <c r="G11">
        <v>3688.4552254651699</v>
      </c>
      <c r="H11">
        <v>0</v>
      </c>
      <c r="I11">
        <v>150</v>
      </c>
      <c r="J11">
        <v>0.68721185005761598</v>
      </c>
      <c r="K11">
        <f t="shared" si="0"/>
        <v>103.0817775086424</v>
      </c>
      <c r="L11">
        <f t="shared" si="1"/>
        <v>35.781835690172578</v>
      </c>
      <c r="M11">
        <f t="shared" si="2"/>
        <v>1.8794438027315359</v>
      </c>
    </row>
    <row r="12" spans="1:13" x14ac:dyDescent="0.25">
      <c r="A12">
        <v>100</v>
      </c>
      <c r="B12">
        <v>4380.2867119742295</v>
      </c>
      <c r="C12">
        <v>2.9734968663513701</v>
      </c>
      <c r="D12">
        <v>197.34498199660499</v>
      </c>
      <c r="E12">
        <v>6315.0394238913505</v>
      </c>
      <c r="F12">
        <v>2417.3390365713799</v>
      </c>
      <c r="G12">
        <v>3897.7003873199601</v>
      </c>
      <c r="H12">
        <v>0</v>
      </c>
      <c r="I12">
        <v>150</v>
      </c>
      <c r="J12">
        <v>0.66154973118920801</v>
      </c>
      <c r="K12">
        <f t="shared" si="0"/>
        <v>99.232459678381204</v>
      </c>
      <c r="L12">
        <f t="shared" si="1"/>
        <v>39.278482060735548</v>
      </c>
      <c r="M12">
        <f t="shared" si="2"/>
        <v>1.9887140018116329</v>
      </c>
    </row>
    <row r="13" spans="1:13" x14ac:dyDescent="0.25">
      <c r="A13">
        <v>105</v>
      </c>
      <c r="B13">
        <v>4427.77280967975</v>
      </c>
      <c r="C13">
        <v>2.9890680906832201</v>
      </c>
      <c r="D13">
        <v>200.52900633649301</v>
      </c>
      <c r="E13">
        <v>6416.92820276778</v>
      </c>
      <c r="F13">
        <v>2334.1649093032102</v>
      </c>
      <c r="G13">
        <v>4082.7632934645599</v>
      </c>
      <c r="H13">
        <v>0</v>
      </c>
      <c r="I13">
        <v>150</v>
      </c>
      <c r="J13">
        <v>0.63668162528177397</v>
      </c>
      <c r="K13">
        <f t="shared" si="0"/>
        <v>95.5022437922661</v>
      </c>
      <c r="L13">
        <f t="shared" si="1"/>
        <v>42.750443668583081</v>
      </c>
      <c r="M13">
        <f t="shared" si="2"/>
        <v>2.0997308374521366</v>
      </c>
    </row>
    <row r="14" spans="1:13" x14ac:dyDescent="0.25">
      <c r="A14">
        <v>110</v>
      </c>
      <c r="B14">
        <v>4464.8937971735404</v>
      </c>
      <c r="C14">
        <v>3.0042000885546201</v>
      </c>
      <c r="D14">
        <v>203.23385364932901</v>
      </c>
      <c r="E14">
        <v>6503.48331677854</v>
      </c>
      <c r="F14">
        <v>2300.9124751506502</v>
      </c>
      <c r="G14">
        <v>4202.5708416278903</v>
      </c>
      <c r="H14">
        <v>0</v>
      </c>
      <c r="I14">
        <v>150</v>
      </c>
      <c r="J14">
        <v>0.613456422237035</v>
      </c>
      <c r="K14">
        <f t="shared" si="0"/>
        <v>92.018463335555253</v>
      </c>
      <c r="L14">
        <f t="shared" si="1"/>
        <v>45.670952212087727</v>
      </c>
      <c r="M14">
        <f t="shared" si="2"/>
        <v>2.2086203820663126</v>
      </c>
    </row>
    <row r="15" spans="1:13" x14ac:dyDescent="0.25">
      <c r="A15">
        <v>115</v>
      </c>
      <c r="B15">
        <v>4491.2076760194304</v>
      </c>
      <c r="C15">
        <v>3.01900531222224</v>
      </c>
      <c r="D15">
        <v>205.43908836660501</v>
      </c>
      <c r="E15">
        <v>6574.0508277313702</v>
      </c>
      <c r="F15">
        <v>2265.58170209424</v>
      </c>
      <c r="G15">
        <v>4308.4691256371298</v>
      </c>
      <c r="H15">
        <v>0</v>
      </c>
      <c r="I15">
        <v>150</v>
      </c>
      <c r="J15">
        <v>0.59133205402744604</v>
      </c>
      <c r="K15">
        <f t="shared" si="0"/>
        <v>88.699808104116912</v>
      </c>
      <c r="L15">
        <f t="shared" si="1"/>
        <v>48.573601428537437</v>
      </c>
      <c r="M15">
        <f t="shared" si="2"/>
        <v>2.316116491768033</v>
      </c>
    </row>
    <row r="16" spans="1:13" x14ac:dyDescent="0.25">
      <c r="A16">
        <v>120</v>
      </c>
      <c r="B16">
        <v>4511.86048736051</v>
      </c>
      <c r="C16">
        <v>3.0340081815898401</v>
      </c>
      <c r="D16">
        <v>207.40941867945</v>
      </c>
      <c r="E16">
        <v>6637.10139774241</v>
      </c>
      <c r="F16">
        <v>2228.0651492963698</v>
      </c>
      <c r="G16">
        <v>4409.0362484460402</v>
      </c>
      <c r="H16">
        <v>0</v>
      </c>
      <c r="I16">
        <v>150</v>
      </c>
      <c r="J16">
        <v>0.56995932522777903</v>
      </c>
      <c r="K16">
        <f t="shared" si="0"/>
        <v>85.493898784166859</v>
      </c>
      <c r="L16">
        <f t="shared" si="1"/>
        <v>51.571355513647212</v>
      </c>
      <c r="M16">
        <f t="shared" si="2"/>
        <v>2.4260142727034157</v>
      </c>
    </row>
    <row r="17" spans="1:13" x14ac:dyDescent="0.25">
      <c r="A17">
        <v>125</v>
      </c>
      <c r="B17">
        <v>4528.8521289580804</v>
      </c>
      <c r="C17">
        <v>3.0493256953298999</v>
      </c>
      <c r="D17">
        <v>209.241593442143</v>
      </c>
      <c r="E17">
        <v>6695.7309901485596</v>
      </c>
      <c r="F17">
        <v>2188.7552289373898</v>
      </c>
      <c r="G17">
        <v>4506.9757612111798</v>
      </c>
      <c r="H17">
        <v>0</v>
      </c>
      <c r="I17">
        <v>150</v>
      </c>
      <c r="J17">
        <v>0.549359078713205</v>
      </c>
      <c r="K17">
        <f t="shared" si="0"/>
        <v>82.403861806980743</v>
      </c>
      <c r="L17">
        <f t="shared" si="1"/>
        <v>54.693744472414721</v>
      </c>
      <c r="M17">
        <f t="shared" si="2"/>
        <v>2.539220721624206</v>
      </c>
    </row>
    <row r="18" spans="1:13" x14ac:dyDescent="0.25">
      <c r="A18">
        <v>130</v>
      </c>
      <c r="B18">
        <v>4525.1706030758696</v>
      </c>
      <c r="C18">
        <v>3.0641582731902601</v>
      </c>
      <c r="D18">
        <v>210.08846880321701</v>
      </c>
      <c r="E18">
        <v>6722.8310017029298</v>
      </c>
      <c r="F18">
        <v>2145.9347066392102</v>
      </c>
      <c r="G18">
        <v>4576.8962950637197</v>
      </c>
      <c r="H18">
        <v>0</v>
      </c>
      <c r="I18">
        <v>150</v>
      </c>
      <c r="J18">
        <v>0.52856238716738702</v>
      </c>
      <c r="K18">
        <f t="shared" si="0"/>
        <v>79.284358075108059</v>
      </c>
      <c r="L18">
        <f t="shared" si="1"/>
        <v>57.727607389189068</v>
      </c>
      <c r="M18">
        <f t="shared" si="2"/>
        <v>2.6498097973397847</v>
      </c>
    </row>
    <row r="19" spans="1:13" x14ac:dyDescent="0.25">
      <c r="A19">
        <v>135</v>
      </c>
      <c r="B19">
        <v>4513.6053619772301</v>
      </c>
      <c r="C19">
        <v>3.0787323336422401</v>
      </c>
      <c r="D19">
        <v>210.54822377606499</v>
      </c>
      <c r="E19">
        <v>6737.5431608340896</v>
      </c>
      <c r="F19">
        <v>2102.0544575968802</v>
      </c>
      <c r="G19">
        <v>4635.4887032372098</v>
      </c>
      <c r="H19">
        <v>0</v>
      </c>
      <c r="I19">
        <v>150</v>
      </c>
      <c r="J19">
        <v>0.50868158350124304</v>
      </c>
      <c r="K19">
        <f t="shared" si="0"/>
        <v>76.302237525186456</v>
      </c>
      <c r="L19">
        <f t="shared" si="1"/>
        <v>60.751674571890376</v>
      </c>
      <c r="M19">
        <f t="shared" si="2"/>
        <v>2.7593977661083078</v>
      </c>
    </row>
    <row r="20" spans="1:13" x14ac:dyDescent="0.25">
      <c r="A20">
        <v>140</v>
      </c>
      <c r="B20">
        <v>4489.65362068582</v>
      </c>
      <c r="C20">
        <v>3.0927160398066</v>
      </c>
      <c r="D20">
        <v>210.38217827077</v>
      </c>
      <c r="E20">
        <v>6732.2297046646399</v>
      </c>
      <c r="F20">
        <v>2056.9290842793298</v>
      </c>
      <c r="G20">
        <v>4675.3006203853101</v>
      </c>
      <c r="H20">
        <v>0</v>
      </c>
      <c r="I20">
        <v>150</v>
      </c>
      <c r="J20">
        <v>0.48947548531722701</v>
      </c>
      <c r="K20">
        <f t="shared" si="0"/>
        <v>73.421322797584054</v>
      </c>
      <c r="L20">
        <f t="shared" si="1"/>
        <v>63.677695283081334</v>
      </c>
      <c r="M20">
        <f t="shared" si="2"/>
        <v>2.8654098054154464</v>
      </c>
    </row>
    <row r="21" spans="1:13" x14ac:dyDescent="0.25">
      <c r="A21">
        <v>145</v>
      </c>
      <c r="B21">
        <v>4473.9485503190499</v>
      </c>
      <c r="C21">
        <v>3.1080142066776801</v>
      </c>
      <c r="D21">
        <v>210.683267489949</v>
      </c>
      <c r="E21">
        <v>6741.8645596783499</v>
      </c>
      <c r="F21">
        <v>2010.8696734401699</v>
      </c>
      <c r="G21">
        <v>4730.9948862381798</v>
      </c>
      <c r="H21">
        <v>0</v>
      </c>
      <c r="I21">
        <v>150</v>
      </c>
      <c r="J21">
        <v>0.47095501237748</v>
      </c>
      <c r="K21">
        <f t="shared" si="0"/>
        <v>70.643251856622001</v>
      </c>
      <c r="L21">
        <f t="shared" si="1"/>
        <v>66.970230869895929</v>
      </c>
      <c r="M21">
        <f t="shared" si="2"/>
        <v>2.9823551712703305</v>
      </c>
    </row>
    <row r="22" spans="1:13" x14ac:dyDescent="0.25">
      <c r="A22">
        <v>150</v>
      </c>
      <c r="B22">
        <v>4451.2766964511602</v>
      </c>
      <c r="C22">
        <v>3.1232903878510001</v>
      </c>
      <c r="D22">
        <v>210.645904843804</v>
      </c>
      <c r="E22">
        <v>6740.66895500173</v>
      </c>
      <c r="F22">
        <v>1963.7806191555501</v>
      </c>
      <c r="G22">
        <v>4776.8883358461799</v>
      </c>
      <c r="H22">
        <v>0</v>
      </c>
      <c r="I22">
        <v>150</v>
      </c>
      <c r="J22">
        <v>0.45298119535055198</v>
      </c>
      <c r="K22">
        <f t="shared" si="0"/>
        <v>67.947179302582796</v>
      </c>
      <c r="L22">
        <f t="shared" si="1"/>
        <v>70.302967464973221</v>
      </c>
      <c r="M22">
        <f t="shared" si="2"/>
        <v>3.1001420074519115</v>
      </c>
    </row>
    <row r="23" spans="1:13" x14ac:dyDescent="0.25">
      <c r="A23">
        <v>155</v>
      </c>
      <c r="B23">
        <v>4422.0985972550698</v>
      </c>
      <c r="C23">
        <v>3.1384822733581101</v>
      </c>
      <c r="D23">
        <v>210.283000886769</v>
      </c>
      <c r="E23">
        <v>6729.0560283766199</v>
      </c>
      <c r="F23">
        <v>1916.00956312988</v>
      </c>
      <c r="G23">
        <v>4813.0464652467399</v>
      </c>
      <c r="H23">
        <v>0</v>
      </c>
      <c r="I23">
        <v>150</v>
      </c>
      <c r="J23">
        <v>0.43560129988081903</v>
      </c>
      <c r="K23">
        <f t="shared" si="0"/>
        <v>65.340194982122853</v>
      </c>
      <c r="L23">
        <f t="shared" si="1"/>
        <v>73.661342249798835</v>
      </c>
      <c r="M23">
        <f t="shared" si="2"/>
        <v>3.2182793599606283</v>
      </c>
    </row>
    <row r="24" spans="1:13" x14ac:dyDescent="0.25">
      <c r="A24">
        <v>160</v>
      </c>
      <c r="B24">
        <v>4351.8382220869298</v>
      </c>
      <c r="C24">
        <v>3.1536143696367702</v>
      </c>
      <c r="D24">
        <v>207.939690174362</v>
      </c>
      <c r="E24">
        <v>6654.0700855795803</v>
      </c>
      <c r="F24">
        <v>1857.8053837617799</v>
      </c>
      <c r="G24">
        <v>4796.2647018177904</v>
      </c>
      <c r="H24">
        <v>0</v>
      </c>
      <c r="I24">
        <v>150</v>
      </c>
      <c r="J24">
        <v>0.41542943730966603</v>
      </c>
      <c r="K24">
        <f t="shared" si="0"/>
        <v>62.314415596449905</v>
      </c>
      <c r="L24">
        <f t="shared" si="1"/>
        <v>76.968782518615754</v>
      </c>
      <c r="M24">
        <f t="shared" si="2"/>
        <v>3.3369435977861994</v>
      </c>
    </row>
    <row r="25" spans="1:13" x14ac:dyDescent="0.25">
      <c r="A25">
        <v>165</v>
      </c>
      <c r="B25">
        <v>4240.6692679704802</v>
      </c>
      <c r="C25">
        <v>3.1689832004964398</v>
      </c>
      <c r="D25">
        <v>203.61529801606</v>
      </c>
      <c r="E25">
        <v>6515.6895365139299</v>
      </c>
      <c r="F25">
        <v>1788.0293436562099</v>
      </c>
      <c r="G25">
        <v>4727.6601928577202</v>
      </c>
      <c r="H25">
        <v>0</v>
      </c>
      <c r="I25">
        <v>150</v>
      </c>
      <c r="J25">
        <v>0.39249505557598302</v>
      </c>
      <c r="K25">
        <f t="shared" si="0"/>
        <v>58.874258336397453</v>
      </c>
      <c r="L25">
        <f t="shared" si="1"/>
        <v>80.300972384988313</v>
      </c>
      <c r="M25">
        <f t="shared" si="2"/>
        <v>3.4584775039141382</v>
      </c>
    </row>
    <row r="26" spans="1:13" x14ac:dyDescent="0.25">
      <c r="A26">
        <v>170</v>
      </c>
      <c r="B26">
        <v>4134.6855335639302</v>
      </c>
      <c r="C26">
        <v>3.1843974834024902</v>
      </c>
      <c r="D26">
        <v>199.492154662752</v>
      </c>
      <c r="E26">
        <v>6383.7489492080704</v>
      </c>
      <c r="F26">
        <v>1720.2987714774199</v>
      </c>
      <c r="G26">
        <v>4663.4501777306496</v>
      </c>
      <c r="H26">
        <v>0</v>
      </c>
      <c r="I26">
        <v>150</v>
      </c>
      <c r="J26">
        <v>0.37134891763408001</v>
      </c>
      <c r="K26">
        <f t="shared" si="0"/>
        <v>55.702337645112003</v>
      </c>
      <c r="L26">
        <f t="shared" si="1"/>
        <v>83.720906067572855</v>
      </c>
      <c r="M26">
        <f t="shared" si="2"/>
        <v>3.5813964565319791</v>
      </c>
    </row>
    <row r="27" spans="1:13" x14ac:dyDescent="0.25">
      <c r="A27">
        <v>175</v>
      </c>
      <c r="B27">
        <v>4033.5963987620098</v>
      </c>
      <c r="C27">
        <v>3.1998480437696002</v>
      </c>
      <c r="D27">
        <v>195.559023423253</v>
      </c>
      <c r="E27">
        <v>6257.8887495441004</v>
      </c>
      <c r="F27">
        <v>1654.8642584868601</v>
      </c>
      <c r="G27">
        <v>4603.0244910572501</v>
      </c>
      <c r="H27">
        <v>0</v>
      </c>
      <c r="I27">
        <v>150</v>
      </c>
      <c r="J27">
        <v>0.351822740333887</v>
      </c>
      <c r="K27">
        <f t="shared" si="0"/>
        <v>52.773411050083048</v>
      </c>
      <c r="L27">
        <f t="shared" si="1"/>
        <v>87.222417491431159</v>
      </c>
      <c r="M27">
        <f t="shared" si="2"/>
        <v>3.7056354617226366</v>
      </c>
    </row>
    <row r="28" spans="1:13" x14ac:dyDescent="0.25">
      <c r="A28">
        <v>180</v>
      </c>
      <c r="B28">
        <v>3937.7274132263301</v>
      </c>
      <c r="C28">
        <v>3.2152276176750698</v>
      </c>
      <c r="D28">
        <v>191.82863530123501</v>
      </c>
      <c r="E28">
        <v>6138.5163296395103</v>
      </c>
      <c r="F28">
        <v>1592.2757021954701</v>
      </c>
      <c r="G28">
        <v>4546.24062744404</v>
      </c>
      <c r="H28">
        <v>0</v>
      </c>
      <c r="I28">
        <v>150</v>
      </c>
      <c r="J28">
        <v>0.33387673079493002</v>
      </c>
      <c r="K28">
        <f t="shared" si="0"/>
        <v>50.081509619239505</v>
      </c>
      <c r="L28">
        <f t="shared" si="1"/>
        <v>90.776828853767995</v>
      </c>
      <c r="M28">
        <f t="shared" si="2"/>
        <v>3.8303285336179522</v>
      </c>
    </row>
    <row r="29" spans="1:13" x14ac:dyDescent="0.25">
      <c r="A29">
        <v>185</v>
      </c>
      <c r="B29">
        <v>3846.2748691765501</v>
      </c>
      <c r="C29">
        <v>3.2306076760470899</v>
      </c>
      <c r="D29">
        <v>188.269774493163</v>
      </c>
      <c r="E29">
        <v>6024.6327837812196</v>
      </c>
      <c r="F29">
        <v>1532.26473182881</v>
      </c>
      <c r="G29">
        <v>4492.3680519524096</v>
      </c>
      <c r="H29">
        <v>0</v>
      </c>
      <c r="I29">
        <v>150</v>
      </c>
      <c r="J29">
        <v>0.31726910280507598</v>
      </c>
      <c r="K29">
        <f t="shared" si="0"/>
        <v>47.590365420761394</v>
      </c>
      <c r="L29">
        <f t="shared" si="1"/>
        <v>94.3965866249181</v>
      </c>
      <c r="M29">
        <f t="shared" si="2"/>
        <v>3.9560480956305062</v>
      </c>
    </row>
    <row r="30" spans="1:13" x14ac:dyDescent="0.25">
      <c r="A30">
        <v>190</v>
      </c>
      <c r="B30">
        <v>3758.9455931408002</v>
      </c>
      <c r="C30">
        <v>3.2459877344191099</v>
      </c>
      <c r="D30">
        <v>184.87108014672401</v>
      </c>
      <c r="E30">
        <v>5915.8745646951702</v>
      </c>
      <c r="F30">
        <v>1474.82734571373</v>
      </c>
      <c r="G30">
        <v>4441.04721898143</v>
      </c>
      <c r="H30">
        <v>0</v>
      </c>
      <c r="I30">
        <v>150</v>
      </c>
      <c r="J30">
        <v>0.30187048474634698</v>
      </c>
      <c r="K30">
        <f t="shared" si="0"/>
        <v>45.280572711952047</v>
      </c>
      <c r="L30">
        <f t="shared" si="1"/>
        <v>98.078424211476289</v>
      </c>
      <c r="M30">
        <f t="shared" si="2"/>
        <v>4.0827902359531398</v>
      </c>
    </row>
    <row r="31" spans="1:13" x14ac:dyDescent="0.25">
      <c r="A31">
        <v>195</v>
      </c>
      <c r="B31">
        <v>3682.1633527512899</v>
      </c>
      <c r="C31">
        <v>3.2601088428676102</v>
      </c>
      <c r="D31">
        <v>181.88262586647801</v>
      </c>
      <c r="E31">
        <v>5820.2440277272899</v>
      </c>
      <c r="F31">
        <v>1424.32496741874</v>
      </c>
      <c r="G31">
        <v>4395.9190603085499</v>
      </c>
      <c r="H31">
        <v>0</v>
      </c>
      <c r="I31">
        <v>150</v>
      </c>
      <c r="J31">
        <v>0.288698578782981</v>
      </c>
      <c r="K31">
        <f t="shared" si="0"/>
        <v>43.304786817447152</v>
      </c>
      <c r="L31">
        <f t="shared" si="1"/>
        <v>101.51115808143106</v>
      </c>
      <c r="M31">
        <f t="shared" si="2"/>
        <v>4.2000582206583905</v>
      </c>
    </row>
    <row r="32" spans="1:13" x14ac:dyDescent="0.25">
      <c r="A32">
        <v>200</v>
      </c>
      <c r="B32">
        <v>3608.43628237353</v>
      </c>
      <c r="C32">
        <v>3.2742299513161202</v>
      </c>
      <c r="D32">
        <v>179.01288110853301</v>
      </c>
      <c r="E32">
        <v>5728.4121954730699</v>
      </c>
      <c r="F32">
        <v>1375.91230418949</v>
      </c>
      <c r="G32">
        <v>4352.4998912835699</v>
      </c>
      <c r="H32">
        <v>0</v>
      </c>
      <c r="I32">
        <v>150</v>
      </c>
      <c r="J32">
        <v>0.27637035363989298</v>
      </c>
      <c r="K32">
        <f t="shared" si="0"/>
        <v>41.455553045983947</v>
      </c>
      <c r="L32">
        <f t="shared" si="1"/>
        <v>104.99196299360969</v>
      </c>
      <c r="M32">
        <f t="shared" si="2"/>
        <v>4.318188227038382</v>
      </c>
    </row>
    <row r="33" spans="1:13" x14ac:dyDescent="0.25">
      <c r="A33">
        <v>205</v>
      </c>
      <c r="B33">
        <v>3537.5868261002101</v>
      </c>
      <c r="C33">
        <v>3.2883510597646199</v>
      </c>
      <c r="D33">
        <v>176.254960433576</v>
      </c>
      <c r="E33">
        <v>5640.1587338744202</v>
      </c>
      <c r="F33">
        <v>1329.53055084937</v>
      </c>
      <c r="G33">
        <v>4310.62818302504</v>
      </c>
      <c r="H33">
        <v>0</v>
      </c>
      <c r="I33">
        <v>150</v>
      </c>
      <c r="J33">
        <v>0.264815266003321</v>
      </c>
      <c r="K33">
        <f t="shared" si="0"/>
        <v>39.722289900498147</v>
      </c>
      <c r="L33">
        <f t="shared" si="1"/>
        <v>108.51912600766205</v>
      </c>
      <c r="M33">
        <f t="shared" si="2"/>
        <v>4.4371802550931392</v>
      </c>
    </row>
    <row r="34" spans="1:13" x14ac:dyDescent="0.25">
      <c r="A34">
        <v>210</v>
      </c>
      <c r="B34">
        <v>3469.4508187646202</v>
      </c>
      <c r="C34">
        <v>3.3024721682131299</v>
      </c>
      <c r="D34">
        <v>173.602496484158</v>
      </c>
      <c r="E34">
        <v>5555.2798874930404</v>
      </c>
      <c r="F34">
        <v>1285.1131192151699</v>
      </c>
      <c r="G34">
        <v>4270.1667682778698</v>
      </c>
      <c r="H34">
        <v>0</v>
      </c>
      <c r="I34">
        <v>150</v>
      </c>
      <c r="J34">
        <v>0.25396999433079698</v>
      </c>
      <c r="K34">
        <f t="shared" si="0"/>
        <v>38.095499149619549</v>
      </c>
      <c r="L34">
        <f t="shared" si="1"/>
        <v>112.09110954306828</v>
      </c>
      <c r="M34">
        <f t="shared" si="2"/>
        <v>4.5570343048226398</v>
      </c>
    </row>
    <row r="35" spans="1:13" x14ac:dyDescent="0.25">
      <c r="A35">
        <v>215</v>
      </c>
      <c r="B35">
        <v>3403.8762582265399</v>
      </c>
      <c r="C35">
        <v>3.3165932766616302</v>
      </c>
      <c r="D35">
        <v>171.04959261548899</v>
      </c>
      <c r="E35">
        <v>5473.5869636956604</v>
      </c>
      <c r="F35">
        <v>1242.5884550707101</v>
      </c>
      <c r="G35">
        <v>4230.9985086249499</v>
      </c>
      <c r="H35">
        <v>0</v>
      </c>
      <c r="I35">
        <v>150</v>
      </c>
      <c r="J35">
        <v>0.243777569498354</v>
      </c>
      <c r="K35">
        <f t="shared" si="0"/>
        <v>36.566635424753102</v>
      </c>
      <c r="L35">
        <f t="shared" si="1"/>
        <v>115.70653026941753</v>
      </c>
      <c r="M35">
        <f t="shared" si="2"/>
        <v>4.6777503762268529</v>
      </c>
    </row>
    <row r="36" spans="1:13" x14ac:dyDescent="0.25">
      <c r="A36">
        <v>220</v>
      </c>
      <c r="B36">
        <v>3340.7222088808999</v>
      </c>
      <c r="C36">
        <v>3.3307143851101402</v>
      </c>
      <c r="D36">
        <v>168.59078057237201</v>
      </c>
      <c r="E36">
        <v>5394.9049783158898</v>
      </c>
      <c r="F36">
        <v>1201.8821802541399</v>
      </c>
      <c r="G36">
        <v>4193.0227980617501</v>
      </c>
      <c r="H36">
        <v>0</v>
      </c>
      <c r="I36">
        <v>150</v>
      </c>
      <c r="J36">
        <v>0.23418662513668501</v>
      </c>
      <c r="K36">
        <f t="shared" si="0"/>
        <v>35.127993770502748</v>
      </c>
      <c r="L36">
        <f t="shared" si="1"/>
        <v>119.364140902993</v>
      </c>
      <c r="M36">
        <f t="shared" si="2"/>
        <v>4.7993284693058396</v>
      </c>
    </row>
    <row r="37" spans="1:13" x14ac:dyDescent="0.25">
      <c r="A37">
        <v>225</v>
      </c>
      <c r="B37">
        <v>3277.52743263411</v>
      </c>
      <c r="C37">
        <v>3.3448354935586502</v>
      </c>
      <c r="D37">
        <v>166.10288011798099</v>
      </c>
      <c r="E37">
        <v>5315.2921637753798</v>
      </c>
      <c r="F37">
        <v>1162.22353714618</v>
      </c>
      <c r="G37">
        <v>4153.0686266291996</v>
      </c>
      <c r="H37">
        <v>0</v>
      </c>
      <c r="I37">
        <v>150</v>
      </c>
      <c r="J37">
        <v>0.22499077622347399</v>
      </c>
      <c r="K37">
        <f t="shared" si="0"/>
        <v>33.7486164335211</v>
      </c>
      <c r="L37">
        <f t="shared" si="1"/>
        <v>123.05892998043407</v>
      </c>
      <c r="M37">
        <f t="shared" si="2"/>
        <v>4.9217685840595795</v>
      </c>
    </row>
    <row r="38" spans="1:13" x14ac:dyDescent="0.25">
      <c r="A38">
        <v>230</v>
      </c>
      <c r="B38">
        <v>3214.1445196335198</v>
      </c>
      <c r="C38">
        <v>3.35895660200715</v>
      </c>
      <c r="D38">
        <v>163.57836293982001</v>
      </c>
      <c r="E38">
        <v>5234.5076140742303</v>
      </c>
      <c r="F38">
        <v>1123.54197104221</v>
      </c>
      <c r="G38">
        <v>4110.9656430320201</v>
      </c>
      <c r="H38">
        <v>0</v>
      </c>
      <c r="I38">
        <v>150</v>
      </c>
      <c r="J38">
        <v>0.216156022386404</v>
      </c>
      <c r="K38">
        <f t="shared" si="0"/>
        <v>32.423403357960602</v>
      </c>
      <c r="L38">
        <f t="shared" si="1"/>
        <v>126.79007190103302</v>
      </c>
      <c r="M38">
        <f t="shared" si="2"/>
        <v>5.0450707204880212</v>
      </c>
    </row>
    <row r="39" spans="1:13" x14ac:dyDescent="0.25">
      <c r="A39">
        <v>235</v>
      </c>
      <c r="B39">
        <v>3150.9513779887302</v>
      </c>
      <c r="C39">
        <v>3.3731374996841001</v>
      </c>
      <c r="D39">
        <v>161.03927655719801</v>
      </c>
      <c r="E39">
        <v>5153.2568498303299</v>
      </c>
      <c r="F39">
        <v>1085.84378637743</v>
      </c>
      <c r="G39">
        <v>4067.4130634529101</v>
      </c>
      <c r="H39">
        <v>0</v>
      </c>
      <c r="I39">
        <v>150</v>
      </c>
      <c r="J39">
        <v>0.20766818443927201</v>
      </c>
      <c r="K39">
        <f t="shared" si="0"/>
        <v>31.150227665890803</v>
      </c>
      <c r="L39">
        <f t="shared" si="1"/>
        <v>130.57410389031241</v>
      </c>
      <c r="M39">
        <f t="shared" si="2"/>
        <v>5.1697624262802568</v>
      </c>
    </row>
    <row r="40" spans="1:13" x14ac:dyDescent="0.25">
      <c r="A40">
        <v>240</v>
      </c>
      <c r="B40">
        <v>3087.5382514352</v>
      </c>
      <c r="C40">
        <v>3.3873121871054201</v>
      </c>
      <c r="D40">
        <v>158.46145374606999</v>
      </c>
      <c r="E40">
        <v>5070.7665198742297</v>
      </c>
      <c r="F40">
        <v>1049.07292573219</v>
      </c>
      <c r="G40">
        <v>4021.6935941420402</v>
      </c>
      <c r="H40">
        <v>0</v>
      </c>
      <c r="I40">
        <v>150</v>
      </c>
      <c r="J40">
        <v>0.199500692596739</v>
      </c>
      <c r="K40">
        <f t="shared" si="0"/>
        <v>29.925103889510851</v>
      </c>
      <c r="L40">
        <f t="shared" si="1"/>
        <v>134.39196766002533</v>
      </c>
      <c r="M40">
        <f t="shared" si="2"/>
        <v>5.2952682915033371</v>
      </c>
    </row>
    <row r="41" spans="1:13" x14ac:dyDescent="0.25">
      <c r="A41">
        <v>245</v>
      </c>
      <c r="B41">
        <v>3024.2646819012398</v>
      </c>
      <c r="C41">
        <v>3.4014930847823601</v>
      </c>
      <c r="D41">
        <v>155.86386972785701</v>
      </c>
      <c r="E41">
        <v>4987.6438312914397</v>
      </c>
      <c r="F41">
        <v>1013.29059503146</v>
      </c>
      <c r="G41">
        <v>3974.3532362599699</v>
      </c>
      <c r="H41">
        <v>0</v>
      </c>
      <c r="I41">
        <v>150</v>
      </c>
      <c r="J41">
        <v>0.191654424359921</v>
      </c>
      <c r="K41">
        <f t="shared" si="0"/>
        <v>28.748163653988151</v>
      </c>
      <c r="L41">
        <f t="shared" si="1"/>
        <v>138.24720368560372</v>
      </c>
      <c r="M41">
        <f t="shared" si="2"/>
        <v>5.4216982901526807</v>
      </c>
    </row>
    <row r="42" spans="1:13" x14ac:dyDescent="0.25">
      <c r="A42">
        <v>250</v>
      </c>
      <c r="B42">
        <v>2961.19231100653</v>
      </c>
      <c r="C42">
        <v>3.4156739824593099</v>
      </c>
      <c r="D42">
        <v>153.24950808732601</v>
      </c>
      <c r="E42">
        <v>4903.9842587944504</v>
      </c>
      <c r="F42">
        <v>978.49320632993704</v>
      </c>
      <c r="G42">
        <v>3925.4910524645102</v>
      </c>
      <c r="H42">
        <v>0</v>
      </c>
      <c r="I42">
        <v>150</v>
      </c>
      <c r="J42">
        <v>0.18411674615576301</v>
      </c>
      <c r="K42">
        <f t="shared" si="0"/>
        <v>27.61751192336445</v>
      </c>
      <c r="L42">
        <f t="shared" si="1"/>
        <v>142.13775170469066</v>
      </c>
      <c r="M42">
        <f t="shared" si="2"/>
        <v>5.5489976255854074</v>
      </c>
    </row>
    <row r="43" spans="1:13" x14ac:dyDescent="0.25">
      <c r="A43">
        <v>255</v>
      </c>
      <c r="B43">
        <v>2898.4031849619901</v>
      </c>
      <c r="C43">
        <v>3.4298548801362498</v>
      </c>
      <c r="D43">
        <v>150.622762250672</v>
      </c>
      <c r="E43">
        <v>4819.9283920215003</v>
      </c>
      <c r="F43">
        <v>944.67459146695603</v>
      </c>
      <c r="G43">
        <v>3875.2538005545398</v>
      </c>
      <c r="H43">
        <v>0</v>
      </c>
      <c r="I43">
        <v>150</v>
      </c>
      <c r="J43">
        <v>0.176875521283685</v>
      </c>
      <c r="K43">
        <f t="shared" si="0"/>
        <v>26.531328192552749</v>
      </c>
      <c r="L43">
        <f t="shared" si="1"/>
        <v>146.06331701261416</v>
      </c>
      <c r="M43">
        <f t="shared" si="2"/>
        <v>5.677166297801528</v>
      </c>
    </row>
    <row r="44" spans="1:13" x14ac:dyDescent="0.25">
      <c r="A44">
        <v>260</v>
      </c>
      <c r="B44">
        <v>2836.0913153912902</v>
      </c>
      <c r="C44">
        <v>3.4441045357286901</v>
      </c>
      <c r="D44">
        <v>147.99689337999899</v>
      </c>
      <c r="E44">
        <v>4735.9005881599496</v>
      </c>
      <c r="F44">
        <v>911.78897638224305</v>
      </c>
      <c r="G44">
        <v>3824.1116117777101</v>
      </c>
      <c r="H44">
        <v>0</v>
      </c>
      <c r="I44">
        <v>150</v>
      </c>
      <c r="J44">
        <v>0.16991122559227301</v>
      </c>
      <c r="K44">
        <f t="shared" si="0"/>
        <v>25.48668383884095</v>
      </c>
      <c r="L44">
        <f t="shared" si="1"/>
        <v>150.04351432923093</v>
      </c>
      <c r="M44">
        <f t="shared" si="2"/>
        <v>5.8068320820324271</v>
      </c>
    </row>
    <row r="45" spans="1:13" x14ac:dyDescent="0.25">
      <c r="A45">
        <v>265</v>
      </c>
      <c r="B45">
        <v>2774.1929526812801</v>
      </c>
      <c r="C45">
        <v>3.45835419132113</v>
      </c>
      <c r="D45">
        <v>145.365785233922</v>
      </c>
      <c r="E45">
        <v>4651.7051274855103</v>
      </c>
      <c r="F45">
        <v>879.86547759011</v>
      </c>
      <c r="G45">
        <v>3771.8396498953998</v>
      </c>
      <c r="H45">
        <v>0</v>
      </c>
      <c r="I45">
        <v>150</v>
      </c>
      <c r="J45">
        <v>0.16322114203674701</v>
      </c>
      <c r="K45">
        <f t="shared" si="0"/>
        <v>24.483171305512052</v>
      </c>
      <c r="L45">
        <f t="shared" si="1"/>
        <v>154.05845929143263</v>
      </c>
      <c r="M45">
        <f t="shared" si="2"/>
        <v>5.9373756536676634</v>
      </c>
    </row>
    <row r="46" spans="1:13" x14ac:dyDescent="0.25">
      <c r="A46">
        <v>270</v>
      </c>
      <c r="B46">
        <v>2712.61997434358</v>
      </c>
      <c r="C46">
        <v>3.47260384691358</v>
      </c>
      <c r="D46">
        <v>142.725069062426</v>
      </c>
      <c r="E46">
        <v>4567.2022099976402</v>
      </c>
      <c r="F46">
        <v>848.84930513953702</v>
      </c>
      <c r="G46">
        <v>3718.3529048580999</v>
      </c>
      <c r="H46">
        <v>0</v>
      </c>
      <c r="I46">
        <v>150</v>
      </c>
      <c r="J46">
        <v>0.15678567901082599</v>
      </c>
      <c r="K46">
        <f t="shared" si="0"/>
        <v>23.517851851623899</v>
      </c>
      <c r="L46">
        <f t="shared" si="1"/>
        <v>158.10767617372116</v>
      </c>
      <c r="M46">
        <f t="shared" si="2"/>
        <v>6.0687970127072166</v>
      </c>
    </row>
    <row r="47" spans="1:13" x14ac:dyDescent="0.25">
      <c r="A47">
        <v>275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f t="shared" si="0"/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46"/>
  <sheetViews>
    <sheetView workbookViewId="0">
      <selection activeCell="AA1" sqref="AA1:AA1048576"/>
    </sheetView>
  </sheetViews>
  <sheetFormatPr defaultColWidth="11.42578125" defaultRowHeight="15" x14ac:dyDescent="0.25"/>
  <sheetData>
    <row r="1" spans="1:29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</v>
      </c>
    </row>
    <row r="2" spans="1:29" x14ac:dyDescent="0.25">
      <c r="A2">
        <v>61</v>
      </c>
      <c r="B2">
        <v>8</v>
      </c>
      <c r="C2">
        <v>30</v>
      </c>
      <c r="D2" t="s">
        <v>39</v>
      </c>
      <c r="E2" t="b">
        <v>0</v>
      </c>
      <c r="F2">
        <v>2</v>
      </c>
      <c r="G2" t="b">
        <v>0</v>
      </c>
      <c r="M2">
        <v>50</v>
      </c>
      <c r="N2">
        <v>1</v>
      </c>
      <c r="O2" t="s">
        <v>40</v>
      </c>
      <c r="P2" t="b">
        <v>1</v>
      </c>
      <c r="Q2">
        <v>250</v>
      </c>
      <c r="R2">
        <v>0.34905599999999998</v>
      </c>
      <c r="S2">
        <v>43.457472000000003</v>
      </c>
      <c r="T2">
        <v>87.263999999999996</v>
      </c>
      <c r="U2">
        <v>3</v>
      </c>
      <c r="V2">
        <v>44.316000000000003</v>
      </c>
      <c r="W2">
        <v>-72.7423</v>
      </c>
      <c r="X2">
        <v>700</v>
      </c>
      <c r="Y2" t="s">
        <v>41</v>
      </c>
      <c r="Z2">
        <v>1</v>
      </c>
      <c r="AA2">
        <v>1</v>
      </c>
      <c r="AB2" t="b">
        <v>1</v>
      </c>
      <c r="AC2">
        <v>50</v>
      </c>
    </row>
    <row r="3" spans="1:29" x14ac:dyDescent="0.25">
      <c r="A3">
        <v>61</v>
      </c>
      <c r="B3">
        <v>8.4410825073719007</v>
      </c>
      <c r="C3">
        <v>35.031763221938903</v>
      </c>
      <c r="D3" t="s">
        <v>39</v>
      </c>
      <c r="E3" t="b">
        <v>0</v>
      </c>
      <c r="F3">
        <v>2</v>
      </c>
      <c r="G3" t="b">
        <v>0</v>
      </c>
      <c r="M3">
        <v>53.872479438781703</v>
      </c>
      <c r="N3">
        <v>1</v>
      </c>
      <c r="O3" t="s">
        <v>40</v>
      </c>
      <c r="P3" t="b">
        <v>1</v>
      </c>
      <c r="Q3">
        <v>250</v>
      </c>
      <c r="R3">
        <v>97.151930057550402</v>
      </c>
      <c r="S3">
        <v>45.613616706071099</v>
      </c>
      <c r="T3">
        <v>91.615841132372296</v>
      </c>
      <c r="U3">
        <v>3</v>
      </c>
      <c r="V3">
        <v>44.316000000000003</v>
      </c>
      <c r="W3">
        <v>-72.7423</v>
      </c>
      <c r="X3">
        <v>700</v>
      </c>
      <c r="Y3" t="s">
        <v>41</v>
      </c>
      <c r="Z3">
        <v>1</v>
      </c>
      <c r="AA3">
        <v>0.94301617145538297</v>
      </c>
      <c r="AB3" t="b">
        <v>1</v>
      </c>
      <c r="AC3">
        <v>55</v>
      </c>
    </row>
    <row r="4" spans="1:29" x14ac:dyDescent="0.25">
      <c r="A4">
        <v>61</v>
      </c>
      <c r="B4">
        <v>8.9554513394832593</v>
      </c>
      <c r="C4">
        <v>37.793374232016198</v>
      </c>
      <c r="D4" t="s">
        <v>39</v>
      </c>
      <c r="E4" t="b">
        <v>0</v>
      </c>
      <c r="F4">
        <v>2</v>
      </c>
      <c r="G4" t="b">
        <v>0</v>
      </c>
      <c r="M4">
        <v>57.633164405822797</v>
      </c>
      <c r="N4">
        <v>1</v>
      </c>
      <c r="O4" t="s">
        <v>40</v>
      </c>
      <c r="P4" t="b">
        <v>1</v>
      </c>
      <c r="Q4">
        <v>250</v>
      </c>
      <c r="R4">
        <v>109.352848204068</v>
      </c>
      <c r="S4">
        <v>49.102257384999298</v>
      </c>
      <c r="T4">
        <v>98.641926162814897</v>
      </c>
      <c r="U4">
        <v>3</v>
      </c>
      <c r="V4">
        <v>44.316000000000003</v>
      </c>
      <c r="W4">
        <v>-72.7423</v>
      </c>
      <c r="X4">
        <v>700</v>
      </c>
      <c r="Y4" t="s">
        <v>41</v>
      </c>
      <c r="Z4">
        <v>1</v>
      </c>
      <c r="AA4">
        <v>0.90205173237678304</v>
      </c>
      <c r="AB4" t="b">
        <v>1</v>
      </c>
      <c r="AC4">
        <v>60</v>
      </c>
    </row>
    <row r="5" spans="1:29" x14ac:dyDescent="0.25">
      <c r="A5">
        <v>61</v>
      </c>
      <c r="B5">
        <v>9.5202833712101</v>
      </c>
      <c r="C5">
        <v>39.7104524473867</v>
      </c>
      <c r="D5" t="s">
        <v>39</v>
      </c>
      <c r="E5" t="b">
        <v>0</v>
      </c>
      <c r="F5">
        <v>2</v>
      </c>
      <c r="G5" t="b">
        <v>0</v>
      </c>
      <c r="M5">
        <v>61.000092267990098</v>
      </c>
      <c r="N5">
        <v>1</v>
      </c>
      <c r="O5" t="s">
        <v>40</v>
      </c>
      <c r="P5" t="b">
        <v>1</v>
      </c>
      <c r="Q5">
        <v>150</v>
      </c>
      <c r="R5">
        <v>123.581907120808</v>
      </c>
      <c r="S5">
        <v>31.922941146144201</v>
      </c>
      <c r="T5">
        <v>64.340209920771599</v>
      </c>
      <c r="U5">
        <v>3</v>
      </c>
      <c r="V5">
        <v>44.316000000000003</v>
      </c>
      <c r="W5">
        <v>-72.7423</v>
      </c>
      <c r="X5">
        <v>700</v>
      </c>
      <c r="Y5" t="s">
        <v>41</v>
      </c>
      <c r="Z5">
        <v>1</v>
      </c>
      <c r="AA5">
        <v>0.86771345174709902</v>
      </c>
      <c r="AB5" t="b">
        <v>1</v>
      </c>
      <c r="AC5">
        <v>65</v>
      </c>
    </row>
    <row r="6" spans="1:29" x14ac:dyDescent="0.25">
      <c r="A6">
        <v>61</v>
      </c>
      <c r="B6">
        <v>10.140337377786601</v>
      </c>
      <c r="C6">
        <v>41.5612685539284</v>
      </c>
      <c r="D6" t="s">
        <v>39</v>
      </c>
      <c r="E6" t="b">
        <v>0</v>
      </c>
      <c r="F6">
        <v>2</v>
      </c>
      <c r="G6" t="b">
        <v>0</v>
      </c>
      <c r="M6">
        <v>62.932029366493197</v>
      </c>
      <c r="N6">
        <v>1</v>
      </c>
      <c r="O6" t="s">
        <v>40</v>
      </c>
      <c r="P6" t="b">
        <v>1</v>
      </c>
      <c r="Q6">
        <v>150</v>
      </c>
      <c r="R6">
        <v>84.122312310919</v>
      </c>
      <c r="S6">
        <v>34.762382054525901</v>
      </c>
      <c r="T6">
        <v>70.085579524457998</v>
      </c>
      <c r="U6">
        <v>3</v>
      </c>
      <c r="V6">
        <v>44.316000000000003</v>
      </c>
      <c r="W6">
        <v>-72.7423</v>
      </c>
      <c r="X6">
        <v>700</v>
      </c>
      <c r="Y6" t="s">
        <v>41</v>
      </c>
      <c r="Z6">
        <v>1</v>
      </c>
      <c r="AA6">
        <v>0.83313900437519195</v>
      </c>
      <c r="AB6" t="b">
        <v>1</v>
      </c>
      <c r="AC6">
        <v>70</v>
      </c>
    </row>
    <row r="7" spans="1:29" x14ac:dyDescent="0.25">
      <c r="A7">
        <v>61</v>
      </c>
      <c r="B7">
        <v>10.7799155414104</v>
      </c>
      <c r="C7">
        <v>42.924086853931797</v>
      </c>
      <c r="D7" t="s">
        <v>39</v>
      </c>
      <c r="E7" t="b">
        <v>0</v>
      </c>
      <c r="F7">
        <v>2</v>
      </c>
      <c r="G7" t="b">
        <v>0</v>
      </c>
      <c r="M7">
        <v>65.081669211387606</v>
      </c>
      <c r="N7">
        <v>1</v>
      </c>
      <c r="O7" t="s">
        <v>40</v>
      </c>
      <c r="P7" t="b">
        <v>1</v>
      </c>
      <c r="Q7">
        <v>150</v>
      </c>
      <c r="R7">
        <v>95.068602345300903</v>
      </c>
      <c r="S7">
        <v>37.794640664617397</v>
      </c>
      <c r="T7">
        <v>76.2230720115369</v>
      </c>
      <c r="U7">
        <v>3</v>
      </c>
      <c r="V7">
        <v>44.316000000000003</v>
      </c>
      <c r="W7">
        <v>-72.7423</v>
      </c>
      <c r="X7">
        <v>700</v>
      </c>
      <c r="Y7" t="s">
        <v>41</v>
      </c>
      <c r="Z7">
        <v>1</v>
      </c>
      <c r="AA7">
        <v>0.80176914492426499</v>
      </c>
      <c r="AB7" t="b">
        <v>1</v>
      </c>
      <c r="AC7">
        <v>75</v>
      </c>
    </row>
    <row r="8" spans="1:29" x14ac:dyDescent="0.25">
      <c r="A8">
        <v>61</v>
      </c>
      <c r="B8">
        <v>11.4131693542004</v>
      </c>
      <c r="C8">
        <v>43.357955623733403</v>
      </c>
      <c r="D8" t="s">
        <v>39</v>
      </c>
      <c r="E8" t="b">
        <v>0</v>
      </c>
      <c r="F8">
        <v>2</v>
      </c>
      <c r="G8" t="b">
        <v>0</v>
      </c>
      <c r="M8">
        <v>66.475687384605394</v>
      </c>
      <c r="N8">
        <v>1</v>
      </c>
      <c r="O8" t="s">
        <v>40</v>
      </c>
      <c r="P8" t="b">
        <v>1</v>
      </c>
      <c r="Q8">
        <v>150</v>
      </c>
      <c r="R8">
        <v>106.566061634335</v>
      </c>
      <c r="S8">
        <v>40.800655337749298</v>
      </c>
      <c r="T8">
        <v>82.311751086394096</v>
      </c>
      <c r="U8">
        <v>3</v>
      </c>
      <c r="V8">
        <v>44.316000000000003</v>
      </c>
      <c r="W8">
        <v>-72.7423</v>
      </c>
      <c r="X8">
        <v>700</v>
      </c>
      <c r="Y8" t="s">
        <v>41</v>
      </c>
      <c r="Z8">
        <v>1</v>
      </c>
      <c r="AA8">
        <v>0.77240117373234596</v>
      </c>
      <c r="AB8" t="b">
        <v>1</v>
      </c>
      <c r="AC8">
        <v>80</v>
      </c>
    </row>
    <row r="9" spans="1:29" x14ac:dyDescent="0.25">
      <c r="A9">
        <v>61</v>
      </c>
      <c r="B9">
        <v>12.0545246899128</v>
      </c>
      <c r="C9">
        <v>43.249814312426601</v>
      </c>
      <c r="D9" t="s">
        <v>39</v>
      </c>
      <c r="E9" t="b">
        <v>0</v>
      </c>
      <c r="F9">
        <v>2</v>
      </c>
      <c r="G9" t="b">
        <v>0</v>
      </c>
      <c r="M9">
        <v>68.281898498535199</v>
      </c>
      <c r="N9">
        <v>1</v>
      </c>
      <c r="O9" t="s">
        <v>40</v>
      </c>
      <c r="P9" t="b">
        <v>1</v>
      </c>
      <c r="Q9">
        <v>150</v>
      </c>
      <c r="R9">
        <v>118.879391735319</v>
      </c>
      <c r="S9">
        <v>43.7804763580138</v>
      </c>
      <c r="T9">
        <v>88.353481994263106</v>
      </c>
      <c r="U9">
        <v>3</v>
      </c>
      <c r="V9">
        <v>44.316000000000003</v>
      </c>
      <c r="W9">
        <v>-72.7423</v>
      </c>
      <c r="X9">
        <v>700</v>
      </c>
      <c r="Y9" t="s">
        <v>41</v>
      </c>
      <c r="Z9">
        <v>1</v>
      </c>
      <c r="AA9">
        <v>0.74321949922976904</v>
      </c>
      <c r="AB9" t="b">
        <v>1</v>
      </c>
      <c r="AC9">
        <v>85</v>
      </c>
    </row>
    <row r="10" spans="1:29" x14ac:dyDescent="0.25">
      <c r="A10">
        <v>61</v>
      </c>
      <c r="B10">
        <v>12.686412781476999</v>
      </c>
      <c r="C10">
        <v>43.258555193725698</v>
      </c>
      <c r="D10" t="s">
        <v>39</v>
      </c>
      <c r="E10" t="b">
        <v>0</v>
      </c>
      <c r="F10">
        <v>2</v>
      </c>
      <c r="G10" t="b">
        <v>0</v>
      </c>
      <c r="M10">
        <v>70.0538219213486</v>
      </c>
      <c r="N10">
        <v>1</v>
      </c>
      <c r="O10" t="s">
        <v>40</v>
      </c>
      <c r="P10" t="b">
        <v>1</v>
      </c>
      <c r="Q10">
        <v>150</v>
      </c>
      <c r="R10">
        <v>131.66916116325999</v>
      </c>
      <c r="S10">
        <v>46.622362558649002</v>
      </c>
      <c r="T10">
        <v>94.122519525053093</v>
      </c>
      <c r="U10">
        <v>3</v>
      </c>
      <c r="V10">
        <v>44.316000000000003</v>
      </c>
      <c r="W10">
        <v>-72.7423</v>
      </c>
      <c r="X10">
        <v>700</v>
      </c>
      <c r="Y10" t="s">
        <v>41</v>
      </c>
      <c r="Z10">
        <v>1</v>
      </c>
      <c r="AA10">
        <v>0.714841035619175</v>
      </c>
      <c r="AB10" t="b">
        <v>1</v>
      </c>
      <c r="AC10">
        <v>90</v>
      </c>
    </row>
    <row r="11" spans="1:29" x14ac:dyDescent="0.25">
      <c r="A11">
        <v>61</v>
      </c>
      <c r="B11">
        <v>13.3080714643002</v>
      </c>
      <c r="C11">
        <v>42.678815930865298</v>
      </c>
      <c r="D11" t="s">
        <v>39</v>
      </c>
      <c r="E11" t="b">
        <v>0</v>
      </c>
      <c r="F11">
        <v>2</v>
      </c>
      <c r="G11" t="b">
        <v>0</v>
      </c>
      <c r="M11">
        <v>71.209208250045805</v>
      </c>
      <c r="N11">
        <v>1</v>
      </c>
      <c r="O11" t="s">
        <v>40</v>
      </c>
      <c r="P11" t="b">
        <v>1</v>
      </c>
      <c r="Q11">
        <v>150</v>
      </c>
      <c r="R11">
        <v>144.889409145527</v>
      </c>
      <c r="S11">
        <v>49.301894759174303</v>
      </c>
      <c r="T11">
        <v>99.569718912652107</v>
      </c>
      <c r="U11">
        <v>3</v>
      </c>
      <c r="V11">
        <v>44.316000000000003</v>
      </c>
      <c r="W11">
        <v>-72.7423</v>
      </c>
      <c r="X11">
        <v>700</v>
      </c>
      <c r="Y11" t="s">
        <v>41</v>
      </c>
      <c r="Z11">
        <v>1</v>
      </c>
      <c r="AA11">
        <v>0.68721185005761598</v>
      </c>
      <c r="AB11" t="b">
        <v>1</v>
      </c>
      <c r="AC11">
        <v>95</v>
      </c>
    </row>
    <row r="12" spans="1:29" x14ac:dyDescent="0.25">
      <c r="A12">
        <v>61</v>
      </c>
      <c r="B12">
        <v>13.917199462652199</v>
      </c>
      <c r="C12">
        <v>43.570641644166798</v>
      </c>
      <c r="D12" t="s">
        <v>39</v>
      </c>
      <c r="E12" t="b">
        <v>0</v>
      </c>
      <c r="F12">
        <v>2</v>
      </c>
      <c r="G12" t="b">
        <v>0</v>
      </c>
      <c r="M12">
        <v>72.765614271163898</v>
      </c>
      <c r="N12">
        <v>1</v>
      </c>
      <c r="O12" t="s">
        <v>40</v>
      </c>
      <c r="P12" t="b">
        <v>1</v>
      </c>
      <c r="Q12">
        <v>150</v>
      </c>
      <c r="R12">
        <v>158.45651348658399</v>
      </c>
      <c r="S12">
        <v>51.8852435728259</v>
      </c>
      <c r="T12">
        <v>104.82686390222899</v>
      </c>
      <c r="U12">
        <v>3</v>
      </c>
      <c r="V12">
        <v>44.316000000000003</v>
      </c>
      <c r="W12">
        <v>-72.7423</v>
      </c>
      <c r="X12">
        <v>700</v>
      </c>
      <c r="Y12" t="s">
        <v>41</v>
      </c>
      <c r="Z12">
        <v>1</v>
      </c>
      <c r="AA12">
        <v>0.66154973118920801</v>
      </c>
      <c r="AB12" t="b">
        <v>1</v>
      </c>
      <c r="AC12">
        <v>100</v>
      </c>
    </row>
    <row r="13" spans="1:29" x14ac:dyDescent="0.25">
      <c r="A13">
        <v>61</v>
      </c>
      <c r="B13">
        <v>14.530239790677999</v>
      </c>
      <c r="C13">
        <v>43.441989131250899</v>
      </c>
      <c r="D13" t="s">
        <v>39</v>
      </c>
      <c r="E13" t="b">
        <v>0</v>
      </c>
      <c r="F13">
        <v>2</v>
      </c>
      <c r="G13" t="b">
        <v>0</v>
      </c>
      <c r="M13">
        <v>74.0044748783112</v>
      </c>
      <c r="N13">
        <v>1</v>
      </c>
      <c r="O13" t="s">
        <v>40</v>
      </c>
      <c r="P13" t="b">
        <v>1</v>
      </c>
      <c r="Q13">
        <v>150</v>
      </c>
      <c r="R13">
        <v>172.72370911726301</v>
      </c>
      <c r="S13">
        <v>54.409260225680001</v>
      </c>
      <c r="T13">
        <v>109.970011845475</v>
      </c>
      <c r="U13">
        <v>3</v>
      </c>
      <c r="V13">
        <v>44.316000000000003</v>
      </c>
      <c r="W13">
        <v>-72.7423</v>
      </c>
      <c r="X13">
        <v>700</v>
      </c>
      <c r="Y13" t="s">
        <v>41</v>
      </c>
      <c r="Z13">
        <v>1</v>
      </c>
      <c r="AA13">
        <v>0.63668162528177397</v>
      </c>
      <c r="AB13" t="b">
        <v>1</v>
      </c>
      <c r="AC13">
        <v>105</v>
      </c>
    </row>
    <row r="14" spans="1:29" x14ac:dyDescent="0.25">
      <c r="A14">
        <v>61</v>
      </c>
      <c r="B14">
        <v>15.125987738370901</v>
      </c>
      <c r="C14">
        <v>43.4208174568518</v>
      </c>
      <c r="D14" t="s">
        <v>39</v>
      </c>
      <c r="E14" t="b">
        <v>0</v>
      </c>
      <c r="F14">
        <v>2</v>
      </c>
      <c r="G14" t="b">
        <v>0</v>
      </c>
      <c r="M14">
        <v>75.160105943679795</v>
      </c>
      <c r="N14">
        <v>1</v>
      </c>
      <c r="O14" t="s">
        <v>40</v>
      </c>
      <c r="P14" t="b">
        <v>1</v>
      </c>
      <c r="Q14">
        <v>150</v>
      </c>
      <c r="R14">
        <v>187.17760269068799</v>
      </c>
      <c r="S14">
        <v>56.788725892464903</v>
      </c>
      <c r="T14">
        <v>114.82530246953399</v>
      </c>
      <c r="U14">
        <v>3</v>
      </c>
      <c r="V14">
        <v>44.316000000000003</v>
      </c>
      <c r="W14">
        <v>-72.7423</v>
      </c>
      <c r="X14">
        <v>700</v>
      </c>
      <c r="Y14" t="s">
        <v>41</v>
      </c>
      <c r="Z14">
        <v>1</v>
      </c>
      <c r="AA14">
        <v>0.613456422237035</v>
      </c>
      <c r="AB14" t="b">
        <v>1</v>
      </c>
      <c r="AC14">
        <v>110</v>
      </c>
    </row>
    <row r="15" spans="1:29" x14ac:dyDescent="0.25">
      <c r="A15">
        <v>61</v>
      </c>
      <c r="B15">
        <v>15.7088705599308</v>
      </c>
      <c r="C15">
        <v>43.055851296644498</v>
      </c>
      <c r="D15" t="s">
        <v>39</v>
      </c>
      <c r="E15" t="b">
        <v>0</v>
      </c>
      <c r="F15">
        <v>2</v>
      </c>
      <c r="G15" t="b">
        <v>0</v>
      </c>
      <c r="M15">
        <v>76.336776733398395</v>
      </c>
      <c r="N15">
        <v>1</v>
      </c>
      <c r="O15" t="s">
        <v>40</v>
      </c>
      <c r="P15" t="b">
        <v>1</v>
      </c>
      <c r="Q15">
        <v>150</v>
      </c>
      <c r="R15">
        <v>201.881403333191</v>
      </c>
      <c r="S15">
        <v>59.016534440369</v>
      </c>
      <c r="T15">
        <v>119.37894490295901</v>
      </c>
      <c r="U15">
        <v>3</v>
      </c>
      <c r="V15">
        <v>44.316000000000003</v>
      </c>
      <c r="W15">
        <v>-72.7423</v>
      </c>
      <c r="X15">
        <v>700</v>
      </c>
      <c r="Y15" t="s">
        <v>41</v>
      </c>
      <c r="Z15">
        <v>1</v>
      </c>
      <c r="AA15">
        <v>0.59133205402744604</v>
      </c>
      <c r="AB15" t="b">
        <v>1</v>
      </c>
      <c r="AC15">
        <v>115</v>
      </c>
    </row>
    <row r="16" spans="1:29" x14ac:dyDescent="0.25">
      <c r="A16">
        <v>61</v>
      </c>
      <c r="B16">
        <v>16.299534708261501</v>
      </c>
      <c r="C16">
        <v>43.084548438312403</v>
      </c>
      <c r="D16" t="s">
        <v>39</v>
      </c>
      <c r="E16" t="b">
        <v>0</v>
      </c>
      <c r="F16">
        <v>2</v>
      </c>
      <c r="G16" t="b">
        <v>0</v>
      </c>
      <c r="M16">
        <v>77.812618613243103</v>
      </c>
      <c r="N16">
        <v>1</v>
      </c>
      <c r="O16" t="s">
        <v>40</v>
      </c>
      <c r="P16" t="b">
        <v>1</v>
      </c>
      <c r="Q16">
        <v>150</v>
      </c>
      <c r="R16">
        <v>217.34857981853199</v>
      </c>
      <c r="S16">
        <v>61.215429680231502</v>
      </c>
      <c r="T16">
        <v>123.879849892587</v>
      </c>
      <c r="U16">
        <v>3</v>
      </c>
      <c r="V16">
        <v>44.316000000000003</v>
      </c>
      <c r="W16">
        <v>-72.7423</v>
      </c>
      <c r="X16">
        <v>700</v>
      </c>
      <c r="Y16" t="s">
        <v>41</v>
      </c>
      <c r="Z16">
        <v>1</v>
      </c>
      <c r="AA16">
        <v>0.56995932522777903</v>
      </c>
      <c r="AB16" t="b">
        <v>1</v>
      </c>
      <c r="AC16">
        <v>120</v>
      </c>
    </row>
    <row r="17" spans="1:29" x14ac:dyDescent="0.25">
      <c r="A17">
        <v>61</v>
      </c>
      <c r="B17">
        <v>16.902586430311199</v>
      </c>
      <c r="C17">
        <v>42.7767840770966</v>
      </c>
      <c r="D17" t="s">
        <v>39</v>
      </c>
      <c r="E17" t="b">
        <v>0</v>
      </c>
      <c r="F17">
        <v>2</v>
      </c>
      <c r="G17" t="b">
        <v>0</v>
      </c>
      <c r="M17">
        <v>78.858851075172396</v>
      </c>
      <c r="N17">
        <v>1</v>
      </c>
      <c r="O17" t="s">
        <v>40</v>
      </c>
      <c r="P17" t="b">
        <v>1</v>
      </c>
      <c r="Q17">
        <v>150</v>
      </c>
      <c r="R17">
        <v>233.72906587473</v>
      </c>
      <c r="S17">
        <v>63.421495262470799</v>
      </c>
      <c r="T17">
        <v>128.40118429744001</v>
      </c>
      <c r="U17">
        <v>3</v>
      </c>
      <c r="V17">
        <v>44.316000000000003</v>
      </c>
      <c r="W17">
        <v>-72.7423</v>
      </c>
      <c r="X17">
        <v>700</v>
      </c>
      <c r="Y17" t="s">
        <v>41</v>
      </c>
      <c r="Z17">
        <v>1</v>
      </c>
      <c r="AA17">
        <v>0.549359078713205</v>
      </c>
      <c r="AB17" t="b">
        <v>1</v>
      </c>
      <c r="AC17">
        <v>125</v>
      </c>
    </row>
    <row r="18" spans="1:29" x14ac:dyDescent="0.25">
      <c r="A18">
        <v>61</v>
      </c>
      <c r="B18">
        <v>17.4865461885929</v>
      </c>
      <c r="C18">
        <v>43.4290252927347</v>
      </c>
      <c r="D18" t="s">
        <v>39</v>
      </c>
      <c r="E18" t="b">
        <v>0</v>
      </c>
      <c r="F18">
        <v>2</v>
      </c>
      <c r="G18" t="b">
        <v>0</v>
      </c>
      <c r="M18">
        <v>80.040708065033002</v>
      </c>
      <c r="N18">
        <v>1</v>
      </c>
      <c r="O18" t="s">
        <v>40</v>
      </c>
      <c r="P18" t="b">
        <v>1</v>
      </c>
      <c r="Q18">
        <v>150</v>
      </c>
      <c r="R18">
        <v>250.15804337129899</v>
      </c>
      <c r="S18">
        <v>65.278206142157401</v>
      </c>
      <c r="T18">
        <v>132.22413257345701</v>
      </c>
      <c r="U18">
        <v>3</v>
      </c>
      <c r="V18">
        <v>44.316000000000003</v>
      </c>
      <c r="W18">
        <v>-72.7423</v>
      </c>
      <c r="X18">
        <v>700</v>
      </c>
      <c r="Y18" t="s">
        <v>41</v>
      </c>
      <c r="Z18">
        <v>1</v>
      </c>
      <c r="AA18">
        <v>0.52856238716738702</v>
      </c>
      <c r="AB18" t="b">
        <v>1</v>
      </c>
      <c r="AC18">
        <v>130</v>
      </c>
    </row>
    <row r="19" spans="1:29" x14ac:dyDescent="0.25">
      <c r="A19">
        <v>61</v>
      </c>
      <c r="B19">
        <v>18.060328096151402</v>
      </c>
      <c r="C19">
        <v>42.756311190401298</v>
      </c>
      <c r="D19" t="s">
        <v>39</v>
      </c>
      <c r="E19" t="b">
        <v>0</v>
      </c>
      <c r="F19">
        <v>2</v>
      </c>
      <c r="G19" t="b">
        <v>0</v>
      </c>
      <c r="M19">
        <v>80.776354074478107</v>
      </c>
      <c r="N19">
        <v>1</v>
      </c>
      <c r="O19" t="s">
        <v>40</v>
      </c>
      <c r="P19" t="b">
        <v>1</v>
      </c>
      <c r="Q19">
        <v>150</v>
      </c>
      <c r="R19">
        <v>266.84413641453301</v>
      </c>
      <c r="S19">
        <v>66.979868474967901</v>
      </c>
      <c r="T19">
        <v>135.738697859366</v>
      </c>
      <c r="U19">
        <v>3</v>
      </c>
      <c r="V19">
        <v>44.316000000000003</v>
      </c>
      <c r="W19">
        <v>-72.7423</v>
      </c>
      <c r="X19">
        <v>700</v>
      </c>
      <c r="Y19" t="s">
        <v>41</v>
      </c>
      <c r="Z19">
        <v>1</v>
      </c>
      <c r="AA19">
        <v>0.50868158350124304</v>
      </c>
      <c r="AB19" t="b">
        <v>1</v>
      </c>
      <c r="AC19">
        <v>135</v>
      </c>
    </row>
    <row r="20" spans="1:29" x14ac:dyDescent="0.25">
      <c r="A20">
        <v>61</v>
      </c>
      <c r="B20">
        <v>18.610867708921401</v>
      </c>
      <c r="C20">
        <v>43.242164079117401</v>
      </c>
      <c r="D20" t="s">
        <v>39</v>
      </c>
      <c r="E20" t="b">
        <v>0</v>
      </c>
      <c r="F20">
        <v>2</v>
      </c>
      <c r="G20" t="b">
        <v>0</v>
      </c>
      <c r="M20">
        <v>81.856670141220107</v>
      </c>
      <c r="N20">
        <v>1</v>
      </c>
      <c r="O20" t="s">
        <v>40</v>
      </c>
      <c r="P20" t="b">
        <v>1</v>
      </c>
      <c r="Q20">
        <v>150</v>
      </c>
      <c r="R20">
        <v>283.36071308668897</v>
      </c>
      <c r="S20">
        <v>68.404525568682303</v>
      </c>
      <c r="T20">
        <v>138.69812255794201</v>
      </c>
      <c r="U20">
        <v>3</v>
      </c>
      <c r="V20">
        <v>44.316000000000003</v>
      </c>
      <c r="W20">
        <v>-72.7423</v>
      </c>
      <c r="X20">
        <v>700</v>
      </c>
      <c r="Y20" t="s">
        <v>41</v>
      </c>
      <c r="Z20">
        <v>1</v>
      </c>
      <c r="AA20">
        <v>0.48947548531722701</v>
      </c>
      <c r="AB20" t="b">
        <v>1</v>
      </c>
      <c r="AC20">
        <v>140</v>
      </c>
    </row>
    <row r="21" spans="1:29" x14ac:dyDescent="0.25">
      <c r="A21">
        <v>61</v>
      </c>
      <c r="B21">
        <v>19.2131577432156</v>
      </c>
      <c r="C21">
        <v>43.061157807427698</v>
      </c>
      <c r="D21" t="s">
        <v>39</v>
      </c>
      <c r="E21" t="b">
        <v>0</v>
      </c>
      <c r="F21">
        <v>2</v>
      </c>
      <c r="G21" t="b">
        <v>0</v>
      </c>
      <c r="M21">
        <v>83.055476546287494</v>
      </c>
      <c r="N21">
        <v>1</v>
      </c>
      <c r="O21" t="s">
        <v>40</v>
      </c>
      <c r="P21" t="b">
        <v>1</v>
      </c>
      <c r="Q21">
        <v>150</v>
      </c>
      <c r="R21">
        <v>301.997876663976</v>
      </c>
      <c r="S21">
        <v>70.107047282247805</v>
      </c>
      <c r="T21">
        <v>142.22741374225501</v>
      </c>
      <c r="U21">
        <v>3</v>
      </c>
      <c r="V21">
        <v>44.316000000000003</v>
      </c>
      <c r="W21">
        <v>-72.7423</v>
      </c>
      <c r="X21">
        <v>700</v>
      </c>
      <c r="Y21" t="s">
        <v>41</v>
      </c>
      <c r="Z21">
        <v>1</v>
      </c>
      <c r="AA21">
        <v>0.47095501237748</v>
      </c>
      <c r="AB21" t="b">
        <v>1</v>
      </c>
      <c r="AC21">
        <v>145</v>
      </c>
    </row>
    <row r="22" spans="1:29" x14ac:dyDescent="0.25">
      <c r="A22">
        <v>61</v>
      </c>
      <c r="B22">
        <v>19.8145821988583</v>
      </c>
      <c r="C22">
        <v>42.441857761163099</v>
      </c>
      <c r="D22" t="s">
        <v>39</v>
      </c>
      <c r="E22" t="b">
        <v>0</v>
      </c>
      <c r="F22">
        <v>2</v>
      </c>
      <c r="G22" t="b">
        <v>0</v>
      </c>
      <c r="M22">
        <v>83.496238589286804</v>
      </c>
      <c r="N22">
        <v>1</v>
      </c>
      <c r="O22" t="s">
        <v>40</v>
      </c>
      <c r="P22" t="b">
        <v>1</v>
      </c>
      <c r="Q22">
        <v>150</v>
      </c>
      <c r="R22">
        <v>321.20051395789602</v>
      </c>
      <c r="S22">
        <v>71.678228000069893</v>
      </c>
      <c r="T22">
        <v>145.49779275985901</v>
      </c>
      <c r="U22">
        <v>3</v>
      </c>
      <c r="V22">
        <v>44.316000000000003</v>
      </c>
      <c r="W22">
        <v>-72.7423</v>
      </c>
      <c r="X22">
        <v>700</v>
      </c>
      <c r="Y22" t="s">
        <v>41</v>
      </c>
      <c r="Z22">
        <v>1</v>
      </c>
      <c r="AA22">
        <v>0.45298119535055198</v>
      </c>
      <c r="AB22" t="b">
        <v>1</v>
      </c>
      <c r="AC22">
        <v>150</v>
      </c>
    </row>
    <row r="23" spans="1:29" x14ac:dyDescent="0.25">
      <c r="A23">
        <v>61</v>
      </c>
      <c r="B23">
        <v>20.412687927484502</v>
      </c>
      <c r="C23">
        <v>42.727234013816002</v>
      </c>
      <c r="D23" t="s">
        <v>39</v>
      </c>
      <c r="E23" t="b">
        <v>0</v>
      </c>
      <c r="F23">
        <v>2</v>
      </c>
      <c r="G23" t="b">
        <v>0</v>
      </c>
      <c r="M23">
        <v>83.912280023098006</v>
      </c>
      <c r="N23">
        <v>1</v>
      </c>
      <c r="O23" t="s">
        <v>40</v>
      </c>
      <c r="P23" t="b">
        <v>1</v>
      </c>
      <c r="Q23">
        <v>150</v>
      </c>
      <c r="R23">
        <v>340.884131434388</v>
      </c>
      <c r="S23">
        <v>73.108504942666997</v>
      </c>
      <c r="T23">
        <v>148.48957076156299</v>
      </c>
      <c r="U23">
        <v>3</v>
      </c>
      <c r="V23">
        <v>44.316000000000003</v>
      </c>
      <c r="W23">
        <v>-72.7423</v>
      </c>
      <c r="X23">
        <v>700</v>
      </c>
      <c r="Y23" t="s">
        <v>41</v>
      </c>
      <c r="Z23">
        <v>1</v>
      </c>
      <c r="AA23">
        <v>0.43560129988081903</v>
      </c>
      <c r="AB23" t="b">
        <v>1</v>
      </c>
      <c r="AC23">
        <v>155</v>
      </c>
    </row>
    <row r="24" spans="1:29" x14ac:dyDescent="0.25">
      <c r="A24">
        <v>61</v>
      </c>
      <c r="B24">
        <v>21.008439749479301</v>
      </c>
      <c r="C24">
        <v>42.982881926757798</v>
      </c>
      <c r="D24" t="s">
        <v>39</v>
      </c>
      <c r="E24" t="b">
        <v>0</v>
      </c>
      <c r="F24">
        <v>2</v>
      </c>
      <c r="G24" t="b">
        <v>0</v>
      </c>
      <c r="M24">
        <v>84.423023223876996</v>
      </c>
      <c r="N24">
        <v>1</v>
      </c>
      <c r="O24" t="s">
        <v>40</v>
      </c>
      <c r="P24" t="b">
        <v>1</v>
      </c>
      <c r="Q24">
        <v>150</v>
      </c>
      <c r="R24">
        <v>361.07214975280698</v>
      </c>
      <c r="S24">
        <v>73.796426167490594</v>
      </c>
      <c r="T24">
        <v>150</v>
      </c>
      <c r="U24">
        <v>3</v>
      </c>
      <c r="V24">
        <v>44.316000000000003</v>
      </c>
      <c r="W24">
        <v>-72.7423</v>
      </c>
      <c r="X24">
        <v>700</v>
      </c>
      <c r="Y24" t="s">
        <v>41</v>
      </c>
      <c r="Z24">
        <v>1</v>
      </c>
      <c r="AA24">
        <v>0.41542943730966603</v>
      </c>
      <c r="AB24" t="b">
        <v>1</v>
      </c>
      <c r="AC24">
        <v>160</v>
      </c>
    </row>
    <row r="25" spans="1:29" x14ac:dyDescent="0.25">
      <c r="A25">
        <v>61</v>
      </c>
      <c r="B25">
        <v>21.613511830568299</v>
      </c>
      <c r="C25">
        <v>43.286056027948398</v>
      </c>
      <c r="D25" t="s">
        <v>39</v>
      </c>
      <c r="E25" t="b">
        <v>0</v>
      </c>
      <c r="F25">
        <v>2</v>
      </c>
      <c r="G25" t="b">
        <v>0</v>
      </c>
      <c r="M25">
        <v>84.874320954084396</v>
      </c>
      <c r="N25">
        <v>1</v>
      </c>
      <c r="O25" t="s">
        <v>40</v>
      </c>
      <c r="P25" t="b">
        <v>1</v>
      </c>
      <c r="Q25">
        <v>150</v>
      </c>
      <c r="R25">
        <v>382.17041939516002</v>
      </c>
      <c r="S25">
        <v>73.726098602016094</v>
      </c>
      <c r="T25">
        <v>150</v>
      </c>
      <c r="U25">
        <v>3</v>
      </c>
      <c r="V25">
        <v>44.316000000000003</v>
      </c>
      <c r="W25">
        <v>-72.7423</v>
      </c>
      <c r="X25">
        <v>700</v>
      </c>
      <c r="Y25" t="s">
        <v>41</v>
      </c>
      <c r="Z25">
        <v>1</v>
      </c>
      <c r="AA25">
        <v>0.39249505557598302</v>
      </c>
      <c r="AB25" t="b">
        <v>1</v>
      </c>
      <c r="AC25">
        <v>165</v>
      </c>
    </row>
    <row r="26" spans="1:29" x14ac:dyDescent="0.25">
      <c r="A26">
        <v>61</v>
      </c>
      <c r="B26">
        <v>22.220373362302801</v>
      </c>
      <c r="C26">
        <v>42.854273844008603</v>
      </c>
      <c r="D26" t="s">
        <v>39</v>
      </c>
      <c r="E26" t="b">
        <v>0</v>
      </c>
      <c r="F26">
        <v>2</v>
      </c>
      <c r="G26" t="b">
        <v>0</v>
      </c>
      <c r="M26">
        <v>85.325618684291797</v>
      </c>
      <c r="N26">
        <v>1</v>
      </c>
      <c r="O26" t="s">
        <v>40</v>
      </c>
      <c r="P26" t="b">
        <v>1</v>
      </c>
      <c r="Q26">
        <v>150</v>
      </c>
      <c r="R26">
        <v>403.93277824982601</v>
      </c>
      <c r="S26">
        <v>73.653557405833894</v>
      </c>
      <c r="T26">
        <v>150</v>
      </c>
      <c r="U26">
        <v>3</v>
      </c>
      <c r="V26">
        <v>44.316000000000003</v>
      </c>
      <c r="W26">
        <v>-72.7423</v>
      </c>
      <c r="X26">
        <v>700</v>
      </c>
      <c r="Y26" t="s">
        <v>41</v>
      </c>
      <c r="Z26">
        <v>1</v>
      </c>
      <c r="AA26">
        <v>0.37134891763408001</v>
      </c>
      <c r="AB26" t="b">
        <v>1</v>
      </c>
      <c r="AC26">
        <v>170</v>
      </c>
    </row>
    <row r="27" spans="1:29" x14ac:dyDescent="0.25">
      <c r="A27">
        <v>61</v>
      </c>
      <c r="B27">
        <v>22.828663140535401</v>
      </c>
      <c r="C27">
        <v>43.226843890612599</v>
      </c>
      <c r="D27" t="s">
        <v>39</v>
      </c>
      <c r="E27" t="b">
        <v>0</v>
      </c>
      <c r="F27">
        <v>2</v>
      </c>
      <c r="G27" t="b">
        <v>0</v>
      </c>
      <c r="M27">
        <v>85.885562360286698</v>
      </c>
      <c r="N27">
        <v>1</v>
      </c>
      <c r="O27" t="s">
        <v>40</v>
      </c>
      <c r="P27" t="b">
        <v>1</v>
      </c>
      <c r="Q27">
        <v>150</v>
      </c>
      <c r="R27">
        <v>426.35106490742101</v>
      </c>
      <c r="S27">
        <v>73.578829783641893</v>
      </c>
      <c r="T27">
        <v>150</v>
      </c>
      <c r="U27">
        <v>3</v>
      </c>
      <c r="V27">
        <v>44.316000000000003</v>
      </c>
      <c r="W27">
        <v>-72.7423</v>
      </c>
      <c r="X27">
        <v>700</v>
      </c>
      <c r="Y27" t="s">
        <v>41</v>
      </c>
      <c r="Z27">
        <v>1</v>
      </c>
      <c r="AA27">
        <v>0.351822740333887</v>
      </c>
      <c r="AB27" t="b">
        <v>1</v>
      </c>
      <c r="AC27">
        <v>175</v>
      </c>
    </row>
    <row r="28" spans="1:29" x14ac:dyDescent="0.25">
      <c r="A28">
        <v>61</v>
      </c>
      <c r="B28">
        <v>23.434158176183701</v>
      </c>
      <c r="C28">
        <v>43.1231699479019</v>
      </c>
      <c r="D28" t="s">
        <v>39</v>
      </c>
      <c r="E28" t="b">
        <v>0</v>
      </c>
      <c r="F28">
        <v>2</v>
      </c>
      <c r="G28" t="b">
        <v>0</v>
      </c>
      <c r="M28">
        <v>86.4455060362816</v>
      </c>
      <c r="N28">
        <v>1</v>
      </c>
      <c r="O28" t="s">
        <v>40</v>
      </c>
      <c r="P28" t="b">
        <v>1</v>
      </c>
      <c r="Q28">
        <v>150</v>
      </c>
      <c r="R28">
        <v>449.26760736773599</v>
      </c>
      <c r="S28">
        <v>73.502441308774195</v>
      </c>
      <c r="T28">
        <v>150</v>
      </c>
      <c r="U28">
        <v>3</v>
      </c>
      <c r="V28">
        <v>44.316000000000003</v>
      </c>
      <c r="W28">
        <v>-72.7423</v>
      </c>
      <c r="X28">
        <v>700</v>
      </c>
      <c r="Y28" t="s">
        <v>41</v>
      </c>
      <c r="Z28">
        <v>1</v>
      </c>
      <c r="AA28">
        <v>0.33387673079493002</v>
      </c>
      <c r="AB28" t="b">
        <v>1</v>
      </c>
      <c r="AC28">
        <v>180</v>
      </c>
    </row>
    <row r="29" spans="1:29" x14ac:dyDescent="0.25">
      <c r="A29">
        <v>61</v>
      </c>
      <c r="B29">
        <v>24.0396722853184</v>
      </c>
      <c r="C29">
        <v>43.282592334443201</v>
      </c>
      <c r="D29" t="s">
        <v>39</v>
      </c>
      <c r="E29" t="b">
        <v>0</v>
      </c>
      <c r="F29">
        <v>2</v>
      </c>
      <c r="G29" t="b">
        <v>0</v>
      </c>
      <c r="M29">
        <v>86.688488736748695</v>
      </c>
      <c r="N29">
        <v>1</v>
      </c>
      <c r="O29" t="s">
        <v>40</v>
      </c>
      <c r="P29" t="b">
        <v>1</v>
      </c>
      <c r="Q29">
        <v>150</v>
      </c>
      <c r="R29">
        <v>472.78477063730099</v>
      </c>
      <c r="S29">
        <v>73.424050764542301</v>
      </c>
      <c r="T29">
        <v>150</v>
      </c>
      <c r="U29">
        <v>3</v>
      </c>
      <c r="V29">
        <v>44.316000000000003</v>
      </c>
      <c r="W29">
        <v>-72.7423</v>
      </c>
      <c r="X29">
        <v>700</v>
      </c>
      <c r="Y29" t="s">
        <v>41</v>
      </c>
      <c r="Z29">
        <v>1</v>
      </c>
      <c r="AA29">
        <v>0.31726910280507598</v>
      </c>
      <c r="AB29" t="b">
        <v>1</v>
      </c>
      <c r="AC29">
        <v>185</v>
      </c>
    </row>
    <row r="30" spans="1:29" x14ac:dyDescent="0.25">
      <c r="A30">
        <v>61</v>
      </c>
      <c r="B30">
        <v>24.645186394452999</v>
      </c>
      <c r="C30">
        <v>43.4411235159615</v>
      </c>
      <c r="D30" t="s">
        <v>39</v>
      </c>
      <c r="E30" t="b">
        <v>0</v>
      </c>
      <c r="F30">
        <v>2</v>
      </c>
      <c r="G30" t="b">
        <v>0</v>
      </c>
      <c r="M30">
        <v>86.931471437215805</v>
      </c>
      <c r="N30">
        <v>1</v>
      </c>
      <c r="O30" t="s">
        <v>40</v>
      </c>
      <c r="P30" t="b">
        <v>1</v>
      </c>
      <c r="Q30">
        <v>150</v>
      </c>
      <c r="R30">
        <v>496.90184227862102</v>
      </c>
      <c r="S30">
        <v>73.343660525737903</v>
      </c>
      <c r="T30">
        <v>150</v>
      </c>
      <c r="U30">
        <v>3</v>
      </c>
      <c r="V30">
        <v>44.316000000000003</v>
      </c>
      <c r="W30">
        <v>-72.7423</v>
      </c>
      <c r="X30">
        <v>700</v>
      </c>
      <c r="Y30" t="s">
        <v>41</v>
      </c>
      <c r="Z30">
        <v>1</v>
      </c>
      <c r="AA30">
        <v>0.30187048474634698</v>
      </c>
      <c r="AB30" t="b">
        <v>1</v>
      </c>
      <c r="AC30">
        <v>190</v>
      </c>
    </row>
    <row r="31" spans="1:29" x14ac:dyDescent="0.25">
      <c r="A31">
        <v>61</v>
      </c>
      <c r="B31">
        <v>25.201135545968999</v>
      </c>
      <c r="C31">
        <v>43.789136233570098</v>
      </c>
      <c r="D31" t="s">
        <v>39</v>
      </c>
      <c r="E31" t="b">
        <v>0</v>
      </c>
      <c r="F31">
        <v>2</v>
      </c>
      <c r="G31" t="b">
        <v>0</v>
      </c>
      <c r="M31">
        <v>87.469681590795503</v>
      </c>
      <c r="N31">
        <v>1</v>
      </c>
      <c r="O31" t="s">
        <v>40</v>
      </c>
      <c r="P31" t="b">
        <v>1</v>
      </c>
      <c r="Q31">
        <v>150</v>
      </c>
      <c r="R31">
        <v>519.57304615883595</v>
      </c>
      <c r="S31">
        <v>73.268089846137201</v>
      </c>
      <c r="T31">
        <v>150</v>
      </c>
      <c r="U31">
        <v>3</v>
      </c>
      <c r="V31">
        <v>44.316000000000003</v>
      </c>
      <c r="W31">
        <v>-72.7423</v>
      </c>
      <c r="X31">
        <v>700</v>
      </c>
      <c r="Y31" t="s">
        <v>41</v>
      </c>
      <c r="Z31">
        <v>1</v>
      </c>
      <c r="AA31">
        <v>0.288698578782981</v>
      </c>
      <c r="AB31" t="b">
        <v>1</v>
      </c>
      <c r="AC31">
        <v>195</v>
      </c>
    </row>
    <row r="32" spans="1:29" x14ac:dyDescent="0.25">
      <c r="A32">
        <v>61</v>
      </c>
      <c r="B32">
        <v>25.757084697484999</v>
      </c>
      <c r="C32">
        <v>43.852034395791598</v>
      </c>
      <c r="D32" t="s">
        <v>39</v>
      </c>
      <c r="E32" t="b">
        <v>0</v>
      </c>
      <c r="F32">
        <v>2</v>
      </c>
      <c r="G32" t="b">
        <v>0</v>
      </c>
      <c r="M32">
        <v>87.567667014896898</v>
      </c>
      <c r="N32">
        <v>1</v>
      </c>
      <c r="O32" t="s">
        <v>40</v>
      </c>
      <c r="P32" t="b">
        <v>1</v>
      </c>
      <c r="Q32">
        <v>150</v>
      </c>
      <c r="R32">
        <v>542.74996584998405</v>
      </c>
      <c r="S32">
        <v>73.190833447166696</v>
      </c>
      <c r="T32">
        <v>150</v>
      </c>
      <c r="U32">
        <v>3</v>
      </c>
      <c r="V32">
        <v>44.316000000000003</v>
      </c>
      <c r="W32">
        <v>-72.7423</v>
      </c>
      <c r="X32">
        <v>700</v>
      </c>
      <c r="Y32" t="s">
        <v>41</v>
      </c>
      <c r="Z32">
        <v>1</v>
      </c>
      <c r="AA32">
        <v>0.27637035363989298</v>
      </c>
      <c r="AB32" t="b">
        <v>1</v>
      </c>
      <c r="AC32">
        <v>200</v>
      </c>
    </row>
    <row r="33" spans="1:29" x14ac:dyDescent="0.25">
      <c r="A33">
        <v>61</v>
      </c>
      <c r="B33">
        <v>26.313033849000899</v>
      </c>
      <c r="C33">
        <v>43.914791953273799</v>
      </c>
      <c r="D33" t="s">
        <v>39</v>
      </c>
      <c r="E33" t="b">
        <v>0</v>
      </c>
      <c r="F33">
        <v>2</v>
      </c>
      <c r="G33" t="b">
        <v>0</v>
      </c>
      <c r="M33">
        <v>87.665652438998194</v>
      </c>
      <c r="N33">
        <v>1</v>
      </c>
      <c r="O33" t="s">
        <v>40</v>
      </c>
      <c r="P33" t="b">
        <v>1</v>
      </c>
      <c r="Q33">
        <v>150</v>
      </c>
      <c r="R33">
        <v>566.43260135206503</v>
      </c>
      <c r="S33">
        <v>73.111891328826403</v>
      </c>
      <c r="T33">
        <v>150</v>
      </c>
      <c r="U33">
        <v>3</v>
      </c>
      <c r="V33">
        <v>44.316000000000003</v>
      </c>
      <c r="W33">
        <v>-72.7423</v>
      </c>
      <c r="X33">
        <v>700</v>
      </c>
      <c r="Y33" t="s">
        <v>41</v>
      </c>
      <c r="Z33">
        <v>1</v>
      </c>
      <c r="AA33">
        <v>0.264815266003321</v>
      </c>
      <c r="AB33" t="b">
        <v>1</v>
      </c>
      <c r="AC33">
        <v>205</v>
      </c>
    </row>
    <row r="34" spans="1:29" x14ac:dyDescent="0.25">
      <c r="A34">
        <v>61</v>
      </c>
      <c r="B34">
        <v>26.868983000516899</v>
      </c>
      <c r="C34">
        <v>43.9774093769595</v>
      </c>
      <c r="D34" t="s">
        <v>39</v>
      </c>
      <c r="E34" t="b">
        <v>0</v>
      </c>
      <c r="F34">
        <v>2</v>
      </c>
      <c r="G34" t="b">
        <v>0</v>
      </c>
      <c r="M34">
        <v>87.763637863099603</v>
      </c>
      <c r="N34">
        <v>1</v>
      </c>
      <c r="O34" t="s">
        <v>40</v>
      </c>
      <c r="P34" t="b">
        <v>1</v>
      </c>
      <c r="Q34">
        <v>150</v>
      </c>
      <c r="R34">
        <v>590.62095266507799</v>
      </c>
      <c r="S34">
        <v>73.031263491116405</v>
      </c>
      <c r="T34">
        <v>150</v>
      </c>
      <c r="U34">
        <v>3</v>
      </c>
      <c r="V34">
        <v>44.316000000000003</v>
      </c>
      <c r="W34">
        <v>-72.7423</v>
      </c>
      <c r="X34">
        <v>700</v>
      </c>
      <c r="Y34" t="s">
        <v>41</v>
      </c>
      <c r="Z34">
        <v>1</v>
      </c>
      <c r="AA34">
        <v>0.25396999433079698</v>
      </c>
      <c r="AB34" t="b">
        <v>1</v>
      </c>
      <c r="AC34">
        <v>210</v>
      </c>
    </row>
    <row r="35" spans="1:29" x14ac:dyDescent="0.25">
      <c r="A35">
        <v>61</v>
      </c>
      <c r="B35">
        <v>27.424932152032898</v>
      </c>
      <c r="C35">
        <v>44.039887135690499</v>
      </c>
      <c r="D35" t="s">
        <v>39</v>
      </c>
      <c r="E35" t="b">
        <v>0</v>
      </c>
      <c r="F35">
        <v>2</v>
      </c>
      <c r="G35" t="b">
        <v>0</v>
      </c>
      <c r="M35">
        <v>87.861623287200899</v>
      </c>
      <c r="N35">
        <v>1</v>
      </c>
      <c r="O35" t="s">
        <v>40</v>
      </c>
      <c r="P35" t="b">
        <v>1</v>
      </c>
      <c r="Q35">
        <v>150</v>
      </c>
      <c r="R35">
        <v>615.31501978902304</v>
      </c>
      <c r="S35">
        <v>72.948949934036605</v>
      </c>
      <c r="T35">
        <v>150</v>
      </c>
      <c r="U35">
        <v>3</v>
      </c>
      <c r="V35">
        <v>44.316000000000003</v>
      </c>
      <c r="W35">
        <v>-72.7423</v>
      </c>
      <c r="X35">
        <v>700</v>
      </c>
      <c r="Y35" t="s">
        <v>41</v>
      </c>
      <c r="Z35">
        <v>1</v>
      </c>
      <c r="AA35">
        <v>0.243777569498354</v>
      </c>
      <c r="AB35" t="b">
        <v>1</v>
      </c>
      <c r="AC35">
        <v>215</v>
      </c>
    </row>
    <row r="36" spans="1:29" x14ac:dyDescent="0.25">
      <c r="A36">
        <v>61</v>
      </c>
      <c r="B36">
        <v>27.980881303548799</v>
      </c>
      <c r="C36">
        <v>44.012238704163799</v>
      </c>
      <c r="D36" t="s">
        <v>39</v>
      </c>
      <c r="E36" t="b">
        <v>0</v>
      </c>
      <c r="F36">
        <v>2</v>
      </c>
      <c r="G36" t="b">
        <v>0</v>
      </c>
      <c r="M36">
        <v>87.876246478408603</v>
      </c>
      <c r="N36">
        <v>1</v>
      </c>
      <c r="O36" t="s">
        <v>40</v>
      </c>
      <c r="P36" t="b">
        <v>1</v>
      </c>
      <c r="Q36">
        <v>150</v>
      </c>
      <c r="R36">
        <v>640.51480272390199</v>
      </c>
      <c r="S36">
        <v>72.864950657587002</v>
      </c>
      <c r="T36">
        <v>150</v>
      </c>
      <c r="U36">
        <v>3</v>
      </c>
      <c r="V36">
        <v>44.316000000000003</v>
      </c>
      <c r="W36">
        <v>-72.7423</v>
      </c>
      <c r="X36">
        <v>700</v>
      </c>
      <c r="Y36" t="s">
        <v>41</v>
      </c>
      <c r="Z36">
        <v>1</v>
      </c>
      <c r="AA36">
        <v>0.23418662513668501</v>
      </c>
      <c r="AB36" t="b">
        <v>1</v>
      </c>
      <c r="AC36">
        <v>220</v>
      </c>
    </row>
    <row r="37" spans="1:29" x14ac:dyDescent="0.25">
      <c r="A37">
        <v>61</v>
      </c>
      <c r="B37">
        <v>28.536830455064798</v>
      </c>
      <c r="C37">
        <v>43.984599472871402</v>
      </c>
      <c r="D37" t="s">
        <v>39</v>
      </c>
      <c r="E37" t="b">
        <v>0</v>
      </c>
      <c r="F37">
        <v>2</v>
      </c>
      <c r="G37" t="b">
        <v>0</v>
      </c>
      <c r="M37">
        <v>87.890869669616194</v>
      </c>
      <c r="N37">
        <v>1</v>
      </c>
      <c r="O37" t="s">
        <v>40</v>
      </c>
      <c r="P37" t="b">
        <v>1</v>
      </c>
      <c r="Q37">
        <v>150</v>
      </c>
      <c r="R37">
        <v>666.22030146971201</v>
      </c>
      <c r="S37">
        <v>72.725977043521496</v>
      </c>
      <c r="T37">
        <v>149.893422763508</v>
      </c>
      <c r="U37">
        <v>3</v>
      </c>
      <c r="V37">
        <v>44.316000000000003</v>
      </c>
      <c r="W37">
        <v>-72.7423</v>
      </c>
      <c r="X37">
        <v>700</v>
      </c>
      <c r="Y37" t="s">
        <v>41</v>
      </c>
      <c r="Z37">
        <v>1</v>
      </c>
      <c r="AA37">
        <v>0.22499077622347399</v>
      </c>
      <c r="AB37" t="b">
        <v>1</v>
      </c>
      <c r="AC37">
        <v>225</v>
      </c>
    </row>
    <row r="38" spans="1:29" x14ac:dyDescent="0.25">
      <c r="A38">
        <v>61</v>
      </c>
      <c r="B38">
        <v>29.092779606580699</v>
      </c>
      <c r="C38">
        <v>44.046978881843302</v>
      </c>
      <c r="D38" t="s">
        <v>39</v>
      </c>
      <c r="E38" t="b">
        <v>0</v>
      </c>
      <c r="F38">
        <v>2</v>
      </c>
      <c r="G38" t="b">
        <v>0</v>
      </c>
      <c r="M38">
        <v>87.988855093717603</v>
      </c>
      <c r="N38">
        <v>1</v>
      </c>
      <c r="O38" t="s">
        <v>40</v>
      </c>
      <c r="P38" t="b">
        <v>1</v>
      </c>
      <c r="Q38">
        <v>150</v>
      </c>
      <c r="R38">
        <v>692.43151602645503</v>
      </c>
      <c r="S38">
        <v>72.528516086211397</v>
      </c>
      <c r="T38">
        <v>149.67324227926599</v>
      </c>
      <c r="U38">
        <v>3</v>
      </c>
      <c r="V38">
        <v>44.316000000000003</v>
      </c>
      <c r="W38">
        <v>-72.7423</v>
      </c>
      <c r="X38">
        <v>700</v>
      </c>
      <c r="Y38" t="s">
        <v>41</v>
      </c>
      <c r="Z38">
        <v>1</v>
      </c>
      <c r="AA38">
        <v>0.216156022386404</v>
      </c>
      <c r="AB38" t="b">
        <v>1</v>
      </c>
      <c r="AC38">
        <v>230</v>
      </c>
    </row>
    <row r="39" spans="1:29" x14ac:dyDescent="0.25">
      <c r="A39">
        <v>61</v>
      </c>
      <c r="B39">
        <v>29.6510826647282</v>
      </c>
      <c r="C39">
        <v>44.028027470007302</v>
      </c>
      <c r="D39" t="s">
        <v>39</v>
      </c>
      <c r="E39" t="b">
        <v>0</v>
      </c>
      <c r="F39">
        <v>2</v>
      </c>
      <c r="G39" t="b">
        <v>0</v>
      </c>
      <c r="M39">
        <v>88.003478284925194</v>
      </c>
      <c r="N39">
        <v>1</v>
      </c>
      <c r="O39" t="s">
        <v>40</v>
      </c>
      <c r="P39" t="b">
        <v>1</v>
      </c>
      <c r="Q39">
        <v>150</v>
      </c>
      <c r="R39">
        <v>719.26264188018297</v>
      </c>
      <c r="S39">
        <v>72.286441347525198</v>
      </c>
      <c r="T39">
        <v>149.367966974252</v>
      </c>
      <c r="U39">
        <v>3</v>
      </c>
      <c r="V39">
        <v>44.316000000000003</v>
      </c>
      <c r="W39">
        <v>-72.7423</v>
      </c>
      <c r="X39">
        <v>700</v>
      </c>
      <c r="Y39" t="s">
        <v>41</v>
      </c>
      <c r="Z39">
        <v>1</v>
      </c>
      <c r="AA39">
        <v>0.20766818443927201</v>
      </c>
      <c r="AB39" t="b">
        <v>1</v>
      </c>
      <c r="AC39">
        <v>235</v>
      </c>
    </row>
    <row r="40" spans="1:29" x14ac:dyDescent="0.25">
      <c r="A40">
        <v>61</v>
      </c>
      <c r="B40">
        <v>30.209141224622702</v>
      </c>
      <c r="C40">
        <v>43.999778565135898</v>
      </c>
      <c r="D40" t="s">
        <v>39</v>
      </c>
      <c r="E40" t="b">
        <v>0</v>
      </c>
      <c r="F40">
        <v>2</v>
      </c>
      <c r="G40" t="b">
        <v>0</v>
      </c>
      <c r="M40">
        <v>87.819319438189297</v>
      </c>
      <c r="N40">
        <v>1</v>
      </c>
      <c r="O40" t="s">
        <v>40</v>
      </c>
      <c r="P40" t="b">
        <v>1</v>
      </c>
      <c r="Q40">
        <v>150</v>
      </c>
      <c r="R40">
        <v>746.59168988823899</v>
      </c>
      <c r="S40">
        <v>71.984140643542602</v>
      </c>
      <c r="T40">
        <v>148.94555921967299</v>
      </c>
      <c r="U40">
        <v>3</v>
      </c>
      <c r="V40">
        <v>44.316000000000003</v>
      </c>
      <c r="W40">
        <v>-72.7423</v>
      </c>
      <c r="X40">
        <v>700</v>
      </c>
      <c r="Y40" t="s">
        <v>41</v>
      </c>
      <c r="Z40">
        <v>1</v>
      </c>
      <c r="AA40">
        <v>0.199500692596739</v>
      </c>
      <c r="AB40" t="b">
        <v>1</v>
      </c>
      <c r="AC40">
        <v>240</v>
      </c>
    </row>
    <row r="41" spans="1:29" x14ac:dyDescent="0.25">
      <c r="A41">
        <v>61</v>
      </c>
      <c r="B41">
        <v>30.767444282770199</v>
      </c>
      <c r="C41">
        <v>44.062191823318202</v>
      </c>
      <c r="D41" t="s">
        <v>39</v>
      </c>
      <c r="E41" t="b">
        <v>0</v>
      </c>
      <c r="F41">
        <v>2</v>
      </c>
      <c r="G41" t="b">
        <v>0</v>
      </c>
      <c r="M41">
        <v>87.917304862290607</v>
      </c>
      <c r="N41">
        <v>1</v>
      </c>
      <c r="O41" t="s">
        <v>40</v>
      </c>
      <c r="P41" t="b">
        <v>1</v>
      </c>
      <c r="Q41">
        <v>150</v>
      </c>
      <c r="R41">
        <v>774.44260701594305</v>
      </c>
      <c r="S41">
        <v>71.631200666998694</v>
      </c>
      <c r="T41">
        <v>148.425352047437</v>
      </c>
      <c r="U41">
        <v>3</v>
      </c>
      <c r="V41">
        <v>44.316000000000003</v>
      </c>
      <c r="W41">
        <v>-72.7423</v>
      </c>
      <c r="X41">
        <v>700</v>
      </c>
      <c r="Y41" t="s">
        <v>41</v>
      </c>
      <c r="Z41">
        <v>1</v>
      </c>
      <c r="AA41">
        <v>0.191654424359921</v>
      </c>
      <c r="AB41" t="b">
        <v>1</v>
      </c>
      <c r="AC41">
        <v>245</v>
      </c>
    </row>
    <row r="42" spans="1:29" x14ac:dyDescent="0.25">
      <c r="A42">
        <v>61</v>
      </c>
      <c r="B42">
        <v>31.325747340917601</v>
      </c>
      <c r="C42">
        <v>44.043222460782403</v>
      </c>
      <c r="D42" t="s">
        <v>39</v>
      </c>
      <c r="E42" t="b">
        <v>0</v>
      </c>
      <c r="F42">
        <v>2</v>
      </c>
      <c r="G42" t="b">
        <v>0</v>
      </c>
      <c r="M42">
        <v>87.931928053498297</v>
      </c>
      <c r="N42">
        <v>1</v>
      </c>
      <c r="O42" t="s">
        <v>40</v>
      </c>
      <c r="P42" t="b">
        <v>1</v>
      </c>
      <c r="Q42">
        <v>150</v>
      </c>
      <c r="R42">
        <v>802.80353145465699</v>
      </c>
      <c r="S42">
        <v>71.228775235378095</v>
      </c>
      <c r="T42">
        <v>147.809574013787</v>
      </c>
      <c r="U42">
        <v>3</v>
      </c>
      <c r="V42">
        <v>44.316000000000003</v>
      </c>
      <c r="W42">
        <v>-72.7423</v>
      </c>
      <c r="X42">
        <v>700</v>
      </c>
      <c r="Y42" t="s">
        <v>41</v>
      </c>
      <c r="Z42">
        <v>1</v>
      </c>
      <c r="AA42">
        <v>0.18411674615576301</v>
      </c>
      <c r="AB42" t="b">
        <v>1</v>
      </c>
      <c r="AC42">
        <v>250</v>
      </c>
    </row>
    <row r="43" spans="1:29" x14ac:dyDescent="0.25">
      <c r="A43">
        <v>61</v>
      </c>
      <c r="B43">
        <v>31.884050399065</v>
      </c>
      <c r="C43">
        <v>44.024259406455599</v>
      </c>
      <c r="D43" t="s">
        <v>39</v>
      </c>
      <c r="E43" t="b">
        <v>0</v>
      </c>
      <c r="F43">
        <v>2</v>
      </c>
      <c r="G43" t="b">
        <v>0</v>
      </c>
      <c r="M43">
        <v>87.946551244705901</v>
      </c>
      <c r="N43">
        <v>1</v>
      </c>
      <c r="O43" t="s">
        <v>40</v>
      </c>
      <c r="P43" t="b">
        <v>1</v>
      </c>
      <c r="Q43">
        <v>150</v>
      </c>
      <c r="R43">
        <v>831.67446320438205</v>
      </c>
      <c r="S43">
        <v>70.779178898120904</v>
      </c>
      <c r="T43">
        <v>147.102854217604</v>
      </c>
      <c r="U43">
        <v>3</v>
      </c>
      <c r="V43">
        <v>44.316000000000003</v>
      </c>
      <c r="W43">
        <v>-72.7423</v>
      </c>
      <c r="X43">
        <v>700</v>
      </c>
      <c r="Y43" t="s">
        <v>41</v>
      </c>
      <c r="Z43">
        <v>1</v>
      </c>
      <c r="AA43">
        <v>0.176875521283685</v>
      </c>
      <c r="AB43" t="b">
        <v>1</v>
      </c>
      <c r="AC43">
        <v>255</v>
      </c>
    </row>
    <row r="44" spans="1:29" x14ac:dyDescent="0.25">
      <c r="A44">
        <v>61</v>
      </c>
      <c r="B44">
        <v>32.445060461759603</v>
      </c>
      <c r="C44">
        <v>44.027988205848203</v>
      </c>
      <c r="D44" t="s">
        <v>39</v>
      </c>
      <c r="E44" t="b">
        <v>0</v>
      </c>
      <c r="F44">
        <v>2</v>
      </c>
      <c r="G44" t="b">
        <v>0</v>
      </c>
      <c r="M44">
        <v>87.952410155907302</v>
      </c>
      <c r="N44">
        <v>1</v>
      </c>
      <c r="O44" t="s">
        <v>40</v>
      </c>
      <c r="P44" t="b">
        <v>1</v>
      </c>
      <c r="Q44">
        <v>150</v>
      </c>
      <c r="R44">
        <v>861.19910195923399</v>
      </c>
      <c r="S44">
        <v>70.2930337732315</v>
      </c>
      <c r="T44">
        <v>146.327394892858</v>
      </c>
      <c r="U44">
        <v>3</v>
      </c>
      <c r="V44">
        <v>44.316000000000003</v>
      </c>
      <c r="W44">
        <v>-72.7423</v>
      </c>
      <c r="X44">
        <v>700</v>
      </c>
      <c r="Y44" t="s">
        <v>41</v>
      </c>
      <c r="Z44">
        <v>1</v>
      </c>
      <c r="AA44">
        <v>0.16991122559227301</v>
      </c>
      <c r="AB44" t="b">
        <v>1</v>
      </c>
      <c r="AC44">
        <v>260</v>
      </c>
    </row>
    <row r="45" spans="1:29" x14ac:dyDescent="0.25">
      <c r="A45">
        <v>61</v>
      </c>
      <c r="B45">
        <v>33.006070524454103</v>
      </c>
      <c r="C45">
        <v>44.027988205848203</v>
      </c>
      <c r="D45" t="s">
        <v>39</v>
      </c>
      <c r="E45" t="b">
        <v>0</v>
      </c>
      <c r="F45">
        <v>2</v>
      </c>
      <c r="G45" t="b">
        <v>0</v>
      </c>
      <c r="M45">
        <v>87.872331516817198</v>
      </c>
      <c r="N45">
        <v>1</v>
      </c>
      <c r="O45" t="s">
        <v>40</v>
      </c>
      <c r="P45" t="b">
        <v>1</v>
      </c>
      <c r="Q45">
        <v>150</v>
      </c>
      <c r="R45">
        <v>891.23870568771201</v>
      </c>
      <c r="S45">
        <v>69.763703999224703</v>
      </c>
      <c r="T45">
        <v>145.46899936970101</v>
      </c>
      <c r="U45">
        <v>3</v>
      </c>
      <c r="V45">
        <v>44.316000000000003</v>
      </c>
      <c r="W45">
        <v>-72.7423</v>
      </c>
      <c r="X45">
        <v>700</v>
      </c>
      <c r="Y45" t="s">
        <v>41</v>
      </c>
      <c r="Z45">
        <v>1</v>
      </c>
      <c r="AA45">
        <v>0.16322114203674701</v>
      </c>
      <c r="AB45" t="b">
        <v>1</v>
      </c>
      <c r="AC45">
        <v>265</v>
      </c>
    </row>
    <row r="46" spans="1:29" x14ac:dyDescent="0.25">
      <c r="A46">
        <v>61</v>
      </c>
      <c r="B46">
        <v>33.567080587148702</v>
      </c>
      <c r="C46">
        <v>44.027988205848203</v>
      </c>
      <c r="D46" t="s">
        <v>39</v>
      </c>
      <c r="E46" t="b">
        <v>0</v>
      </c>
      <c r="F46">
        <v>2</v>
      </c>
      <c r="G46" t="b">
        <v>0</v>
      </c>
      <c r="M46">
        <v>87.792252877727194</v>
      </c>
      <c r="N46">
        <v>1</v>
      </c>
      <c r="O46" t="s">
        <v>40</v>
      </c>
      <c r="P46" t="b">
        <v>1</v>
      </c>
      <c r="Q46">
        <v>150</v>
      </c>
      <c r="R46">
        <v>921.793274389815</v>
      </c>
      <c r="S46">
        <v>69.189347968443997</v>
      </c>
      <c r="T46">
        <v>144.52398443281999</v>
      </c>
      <c r="U46">
        <v>3</v>
      </c>
      <c r="V46">
        <v>44.316000000000003</v>
      </c>
      <c r="W46">
        <v>-72.7423</v>
      </c>
      <c r="X46">
        <v>700</v>
      </c>
      <c r="Y46" t="s">
        <v>41</v>
      </c>
      <c r="Z46">
        <v>1</v>
      </c>
      <c r="AA46">
        <v>0.15678567901082599</v>
      </c>
      <c r="AB46" t="b">
        <v>1</v>
      </c>
      <c r="AC46">
        <v>270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workbookViewId="0">
      <selection activeCell="C1" sqref="C1:C1048576"/>
    </sheetView>
  </sheetViews>
  <sheetFormatPr defaultColWidth="11.42578125" defaultRowHeight="15" x14ac:dyDescent="0.25"/>
  <sheetData>
    <row r="1" spans="1:2" x14ac:dyDescent="0.25">
      <c r="A1" t="s">
        <v>3</v>
      </c>
      <c r="B1" t="s">
        <v>42</v>
      </c>
    </row>
    <row r="2" spans="1:2" x14ac:dyDescent="0.25">
      <c r="A2">
        <v>50</v>
      </c>
      <c r="B2">
        <v>0</v>
      </c>
    </row>
    <row r="3" spans="1:2" x14ac:dyDescent="0.25">
      <c r="A3">
        <v>65</v>
      </c>
      <c r="B3">
        <v>0.4</v>
      </c>
    </row>
    <row r="4" spans="1:2" x14ac:dyDescent="0.25">
      <c r="A4">
        <v>80</v>
      </c>
      <c r="B4">
        <v>0</v>
      </c>
    </row>
    <row r="5" spans="1:2" x14ac:dyDescent="0.25">
      <c r="A5">
        <v>95</v>
      </c>
      <c r="B5">
        <v>0</v>
      </c>
    </row>
    <row r="6" spans="1:2" x14ac:dyDescent="0.25">
      <c r="A6">
        <v>110</v>
      </c>
      <c r="B6">
        <v>0</v>
      </c>
    </row>
    <row r="7" spans="1:2" x14ac:dyDescent="0.25">
      <c r="A7">
        <v>125</v>
      </c>
      <c r="B7">
        <v>0</v>
      </c>
    </row>
    <row r="8" spans="1:2" x14ac:dyDescent="0.25">
      <c r="A8">
        <v>140</v>
      </c>
      <c r="B8">
        <v>0</v>
      </c>
    </row>
    <row r="9" spans="1:2" x14ac:dyDescent="0.25">
      <c r="A9">
        <v>155</v>
      </c>
      <c r="B9">
        <v>0</v>
      </c>
    </row>
    <row r="10" spans="1:2" x14ac:dyDescent="0.25">
      <c r="A10">
        <v>170</v>
      </c>
      <c r="B10">
        <v>0</v>
      </c>
    </row>
    <row r="11" spans="1:2" x14ac:dyDescent="0.25">
      <c r="A11">
        <v>185</v>
      </c>
      <c r="B11">
        <v>0</v>
      </c>
    </row>
    <row r="12" spans="1:2" x14ac:dyDescent="0.25">
      <c r="A12">
        <v>200</v>
      </c>
      <c r="B12">
        <v>0</v>
      </c>
    </row>
    <row r="13" spans="1:2" x14ac:dyDescent="0.25">
      <c r="A13">
        <v>215</v>
      </c>
      <c r="B13">
        <v>0</v>
      </c>
    </row>
    <row r="14" spans="1:2" x14ac:dyDescent="0.25">
      <c r="A14">
        <v>230</v>
      </c>
      <c r="B14">
        <v>0</v>
      </c>
    </row>
    <row r="15" spans="1:2" x14ac:dyDescent="0.25">
      <c r="A15">
        <v>245</v>
      </c>
      <c r="B15">
        <v>0</v>
      </c>
    </row>
    <row r="16" spans="1:2" x14ac:dyDescent="0.25">
      <c r="A16">
        <v>260</v>
      </c>
      <c r="B16">
        <v>0</v>
      </c>
    </row>
    <row r="17" spans="1:2" x14ac:dyDescent="0.25">
      <c r="A17">
        <v>275</v>
      </c>
      <c r="B17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yields</vt:lpstr>
      <vt:lpstr>trees</vt:lpstr>
      <vt:lpstr>pct_cut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</dc:creator>
  <cp:lastModifiedBy>John Foppert</cp:lastModifiedBy>
  <dcterms:created xsi:type="dcterms:W3CDTF">2025-10-22T19:30:13Z</dcterms:created>
  <dcterms:modified xsi:type="dcterms:W3CDTF">2025-10-22T19:47:47Z</dcterms:modified>
</cp:coreProperties>
</file>